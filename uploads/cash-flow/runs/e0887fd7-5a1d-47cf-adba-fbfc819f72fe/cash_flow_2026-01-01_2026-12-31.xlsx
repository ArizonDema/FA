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 fullCalcOnLoad="1"/>
</workbook>
</file>

<file path=xl/sharedStrings.xml><?xml version="1.0" encoding="utf-8"?>
<sst xmlns="http://schemas.openxmlformats.org/spreadsheetml/2006/main" count="63" uniqueCount="44">
  <si>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</si>
  <si>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</si>
  <si>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</si>
  <si>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</si>
  <si>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</si>
  <si>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</si>
  <si>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</si>
  <si>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</si>
  <si>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</si>
  <si>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</si>
  <si>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</si>
  <si>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</si>
  <si>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</si>
  <si>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</si>
  <si>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</si>
  <si>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</si>
  <si>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</si>
  <si>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OPERATING CASH FLOW</t>
  </si>
  <si>
    <t>Cash receipts from customers</t>
  </si>
  <si>
    <t>Refunds / other operating inflows</t>
  </si>
  <si>
    <t>Payments to suppliers</t>
  </si>
  <si>
    <t>Payroll and benefits</t>
  </si>
  <si>
    <t>Rent and facilities</t>
  </si>
  <si>
    <t>Sales &amp; marketing</t>
  </si>
  <si>
    <t>General &amp; admin</t>
  </si>
  <si>
    <t>Income taxes paid</t>
  </si>
  <si>
    <t>Net cash from operations</t>
  </si>
  <si>
    <t>INVESTING CASH FLOW</t>
  </si>
  <si>
    <t>Capital expenditures</t>
  </si>
  <si>
    <t>Software development capitalization</t>
  </si>
  <si>
    <t>Asset sale proceeds</t>
  </si>
  <si>
    <t>Net cash from investing</t>
  </si>
  <si>
    <t>FINANCING CASH FLOW</t>
  </si>
  <si>
    <t>Debt drawdown</t>
  </si>
  <si>
    <t>Debt principal repayments</t>
  </si>
  <si>
    <t>Interest paid</t>
  </si>
  <si>
    <t>Equity injection</t>
  </si>
  <si>
    <t>Dividends paid</t>
  </si>
  <si>
    <t>Net cash from financing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</si>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</sst>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  <v>180000</v>
      </c>
      <c r="C5" s="4"/>
      <c r="D5" s="4"/>
      <c r="E5" s="5"/>
      <c r="F5" s="3">
        <f>SUM(D30:O30)</f>
        <v>421200</v>
      </c>
      <c r="G5" s="4"/>
      <c r="H5" s="4"/>
      <c r="I5" s="5"/>
      <c r="J5" s="3">
        <f>P32</f>
        <v>601200</v>
      </c>
      <c r="K5" s="4"/>
      <c r="L5" s="4"/>
      <c r="M5" s="5"/>
      <c r="N5" s="3" t="str">
        <f>IF(MIN(D32:O32)&lt;0,"Alert","Stable")</f>
        <v>Stable</v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2:16" x14ac:dyDescent="0.25">
      <c r="B10" s="17" t="s">
        <v>17</v>
      </c>
      <c r="C10" s="18" t="s">
        <v>18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f>SUM(D10:O10)</f>
        <v>3325000</v>
      </c>
    </row>
    <row r="11" ht="20" customHeight="1" spans="2:16" x14ac:dyDescent="0.25">
      <c r="B11" s="17" t="s">
        <v>17</v>
      </c>
      <c r="C11" s="18" t="s">
        <v>19</v>
      </c>
      <c r="D11" s="19">
        <v>39000</v>
      </c>
      <c r="E11" s="19">
        <v>76000</v>
      </c>
      <c r="F11" s="19">
        <v>43000</v>
      </c>
      <c r="G11" s="19">
        <v>45000</v>
      </c>
      <c r="H11" s="19">
        <v>59000</v>
      </c>
      <c r="I11" s="19">
        <v>49500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20">
        <f>SUM(D11:O11)</f>
        <v>53700</v>
      </c>
    </row>
    <row r="12" ht="20" customHeight="1" spans="2:16" x14ac:dyDescent="0.25">
      <c r="B12" s="17" t="s">
        <v>17</v>
      </c>
      <c r="C12" s="18" t="s">
        <v>20</v>
      </c>
      <c r="D12" s="19">
        <v>59550</v>
      </c>
      <c r="E12" s="19">
        <v>28480</v>
      </c>
      <c r="F12" s="19">
        <v>35495</v>
      </c>
      <c r="G12" s="19">
        <v>30475</v>
      </c>
      <c r="H12" s="19">
        <v>31505</v>
      </c>
      <c r="I12" s="19">
        <v>32420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20">
        <f>SUM(D12:O12)</f>
        <v>-1620000</v>
      </c>
    </row>
    <row r="13" ht="20" customHeight="1" spans="2:16" x14ac:dyDescent="0.25">
      <c r="B13" s="17" t="s">
        <v>17</v>
      </c>
      <c r="C13" s="18" t="s">
        <v>21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20">
        <f>SUM(D13:O13)</f>
        <v>-655000</v>
      </c>
    </row>
    <row r="14" ht="20" customHeight="1" spans="2:16" x14ac:dyDescent="0.25">
      <c r="B14" s="17" t="s">
        <v>17</v>
      </c>
      <c r="C14" s="18" t="s">
        <v>22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20">
        <f>SUM(D14:O14)</f>
        <v>-118000</v>
      </c>
    </row>
    <row r="15" ht="20" customHeight="1" spans="2:16" x14ac:dyDescent="0.25">
      <c r="B15" s="17" t="s">
        <v>17</v>
      </c>
      <c r="C15" s="18" t="s">
        <v>23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20">
        <f>SUM(D15:O15)</f>
        <v>-185000</v>
      </c>
    </row>
    <row r="16" ht="20" customHeight="1" spans="2:16" x14ac:dyDescent="0.25">
      <c r="B16" s="17" t="s">
        <v>17</v>
      </c>
      <c r="C16" s="18" t="s">
        <v>24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20">
        <f>SUM(D16:O16)</f>
        <v>-105300</v>
      </c>
    </row>
    <row r="17" ht="20" customHeight="1" spans="2:16" x14ac:dyDescent="0.25">
      <c r="B17" s="17" t="s">
        <v>17</v>
      </c>
      <c r="C17" s="18" t="s">
        <v>25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20">
        <f>SUM(D17:O17)</f>
        <v>-60000</v>
      </c>
    </row>
    <row r="18" ht="20" customHeight="1" spans="2:16" x14ac:dyDescent="0.25">
      <c r="B18" s="21" t="s">
        <v>17</v>
      </c>
      <c r="C18" s="22" t="s">
        <v>26</v>
      </c>
      <c r="D18" s="23">
        <f>SUM(D10:D17)</f>
        <v>32500</v>
      </c>
      <c r="E18" s="23">
        <f>SUM(E10:E17)</f>
        <v>37300</v>
      </c>
      <c r="F18" s="23">
        <f>SUM(F10:F17)</f>
        <v>26700</v>
      </c>
      <c r="G18" s="23">
        <f>SUM(G10:G17)</f>
        <v>47100</v>
      </c>
      <c r="H18" s="23">
        <f>SUM(H10:H17)</f>
        <v>52900</v>
      </c>
      <c r="I18" s="23">
        <f>SUM(I10:I17)</f>
        <v>43500</v>
      </c>
      <c r="J18" s="23">
        <f>SUM(J10:J17)</f>
        <v>59100</v>
      </c>
      <c r="K18" s="23">
        <f>SUM(K10:K17)</f>
        <v>63700</v>
      </c>
      <c r="L18" s="23">
        <f>SUM(L10:L17)</f>
        <v>51200</v>
      </c>
      <c r="M18" s="23">
        <f>SUM(M10:M17)</f>
        <v>73500</v>
      </c>
      <c r="N18" s="23">
        <f>SUM(N10:N17)</f>
        <v>79100</v>
      </c>
      <c r="O18" s="23">
        <f>SUM(O10:O17)</f>
        <v>68800</v>
      </c>
      <c r="P18" s="24">
        <f>SUM(D18:O18)</f>
        <v>635400</v>
      </c>
    </row>
    <row r="19" ht="20" customHeight="1" spans="2:16" x14ac:dyDescent="0.25">
      <c r="B19" s="25" t="s">
        <v>27</v>
      </c>
      <c r="C19" s="18" t="s">
        <v>28</v>
      </c>
      <c r="D19" s="19">
        <v>120000</v>
      </c>
      <c r="E19" s="19">
        <v>0</v>
      </c>
      <c r="F19" s="19">
        <v>0</v>
      </c>
      <c r="G19" s="19">
        <v>15000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20">
        <f>SUM(D19:O19)</f>
        <v>-265000</v>
      </c>
    </row>
    <row r="20" ht="20" customHeight="1" spans="2:16" x14ac:dyDescent="0.25">
      <c r="B20" s="25" t="s">
        <v>27</v>
      </c>
      <c r="C20" s="18" t="s">
        <v>29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20">
        <f>SUM(D20:O20)</f>
        <v>-111000</v>
      </c>
    </row>
    <row r="21" ht="20" customHeight="1" spans="2:16" x14ac:dyDescent="0.25">
      <c r="B21" s="25" t="s">
        <v>27</v>
      </c>
      <c r="C21" s="18" t="s">
        <v>30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20">
        <f>SUM(D21:O21)</f>
        <v>45000</v>
      </c>
    </row>
    <row r="22" ht="20" customHeight="1" spans="2:16" x14ac:dyDescent="0.25">
      <c r="B22" s="21" t="s">
        <v>27</v>
      </c>
      <c r="C22" s="22" t="s">
        <v>31</v>
      </c>
      <c r="D22" s="23">
        <f>SUM(D19:D21)</f>
        <v>-38000</v>
      </c>
      <c r="E22" s="23">
        <f>SUM(E19:E21)</f>
        <v>-26000</v>
      </c>
      <c r="F22" s="23">
        <f>SUM(F19:F21)</f>
        <v>-20500</v>
      </c>
      <c r="G22" s="23">
        <f>SUM(G19:G21)</f>
        <v>-36500</v>
      </c>
      <c r="H22" s="23">
        <f>SUM(H19:H21)</f>
        <v>-19000</v>
      </c>
      <c r="I22" s="23">
        <f>SUM(I19:I21)</f>
        <v>-24000</v>
      </c>
      <c r="J22" s="23">
        <f>SUM(J19:J21)</f>
        <v>-31500</v>
      </c>
      <c r="K22" s="23">
        <f>SUM(K19:K21)</f>
        <v>-6500</v>
      </c>
      <c r="L22" s="23">
        <f>SUM(L19:L21)</f>
        <v>-65000</v>
      </c>
      <c r="M22" s="23">
        <f>SUM(M19:M21)</f>
        <v>-19000</v>
      </c>
      <c r="N22" s="23">
        <f>SUM(N19:N21)</f>
        <v>-24500</v>
      </c>
      <c r="O22" s="23">
        <f>SUM(O19:O21)</f>
        <v>-20500</v>
      </c>
      <c r="P22" s="24">
        <f>SUM(D22:O22)</f>
        <v>-331000</v>
      </c>
    </row>
    <row r="23" ht="20" customHeight="1" spans="2:16" x14ac:dyDescent="0.25">
      <c r="B23" s="26" t="s">
        <v>32</v>
      </c>
      <c r="C23" s="18" t="s">
        <v>33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20">
        <f>SUM(D23:O23)</f>
        <v>270000</v>
      </c>
    </row>
    <row r="24" ht="20" customHeight="1" spans="2:16" x14ac:dyDescent="0.25">
      <c r="B24" s="26" t="s">
        <v>32</v>
      </c>
      <c r="C24" s="18" t="s">
        <v>34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20">
        <f>SUM(D24:O24)</f>
        <v>-135000</v>
      </c>
    </row>
    <row r="25" ht="20" customHeight="1" spans="2:16" x14ac:dyDescent="0.25">
      <c r="B25" s="26" t="s">
        <v>32</v>
      </c>
      <c r="C25" s="18" t="s">
        <v>35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20">
        <f>SUM(D25:O25)</f>
        <v>-43200</v>
      </c>
    </row>
    <row r="26" ht="20" customHeight="1" spans="2:16" x14ac:dyDescent="0.25">
      <c r="B26" s="26" t="s">
        <v>32</v>
      </c>
      <c r="C26" s="18" t="s">
        <v>36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  <v>100000</v>
      </c>
    </row>
    <row r="27" ht="20" customHeight="1" spans="2:16" x14ac:dyDescent="0.25">
      <c r="B27" s="26" t="s">
        <v>32</v>
      </c>
      <c r="C27" s="18" t="s">
        <v>37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20">
        <f>SUM(D27:O27)</f>
        <v>-75000</v>
      </c>
    </row>
    <row r="28" ht="20" customHeight="1" spans="2:16" x14ac:dyDescent="0.25">
      <c r="B28" s="21" t="s">
        <v>32</v>
      </c>
      <c r="C28" s="22" t="s">
        <v>38</v>
      </c>
      <c r="D28" s="23">
        <f>SUM(D23:D27)</f>
        <v>-13000</v>
      </c>
      <c r="E28" s="23">
        <f>SUM(E23:E27)</f>
        <v>136800</v>
      </c>
      <c r="F28" s="23">
        <f>SUM(F23:F27)</f>
        <v>-13200</v>
      </c>
      <c r="G28" s="23">
        <f>SUM(G23:G27)</f>
        <v>-33400</v>
      </c>
      <c r="H28" s="23">
        <f>SUM(H23:H27)</f>
        <v>86600</v>
      </c>
      <c r="I28" s="23">
        <f>SUM(I23:I27)</f>
        <v>-13600</v>
      </c>
      <c r="J28" s="23">
        <f>SUM(J23:J27)</f>
        <v>-15600</v>
      </c>
      <c r="K28" s="23">
        <f>SUM(K23:K27)</f>
        <v>-40800</v>
      </c>
      <c r="L28" s="23">
        <f>SUM(L23:L27)</f>
        <v>104200</v>
      </c>
      <c r="M28" s="23">
        <f>SUM(M23:M27)</f>
        <v>-16000</v>
      </c>
      <c r="N28" s="23">
        <f>SUM(N23:N27)</f>
        <v>-16000</v>
      </c>
      <c r="O28" s="23">
        <f>SUM(O23:O27)</f>
        <v>-49200</v>
      </c>
      <c r="P28" s="24">
        <f>SUM(D28:O28)</f>
        <v>116800</v>
      </c>
    </row>
    <row r="29" ht="20" customHeight="1" spans="2:16" x14ac:dyDescent="0.25">
      <c r="B29" s="21" t="s">
        <v>39</v>
      </c>
      <c r="C29" s="22" t="s">
        <v>40</v>
      </c>
      <c r="D29" s="23">
        <f>D18+D22</f>
        <v>-5500</v>
      </c>
      <c r="E29" s="23">
        <f>E18+E22</f>
        <v>11300</v>
      </c>
      <c r="F29" s="23">
        <f>F18+F22</f>
        <v>6200</v>
      </c>
      <c r="G29" s="23">
        <f>G18+G22</f>
        <v>10600</v>
      </c>
      <c r="H29" s="23">
        <f>H18+H22</f>
        <v>33900</v>
      </c>
      <c r="I29" s="23">
        <f>I18+I22</f>
        <v>19500</v>
      </c>
      <c r="J29" s="23">
        <f>J18+J22</f>
        <v>27600</v>
      </c>
      <c r="K29" s="23">
        <f>K18+K22</f>
        <v>57200</v>
      </c>
      <c r="L29" s="23">
        <f>L18+L22</f>
        <v>-13800</v>
      </c>
      <c r="M29" s="23">
        <f>M18+M22</f>
        <v>54500</v>
      </c>
      <c r="N29" s="23">
        <f>N18+N22</f>
        <v>54600</v>
      </c>
      <c r="O29" s="23">
        <f>O18+O22</f>
        <v>48300</v>
      </c>
      <c r="P29" s="24">
        <f>SUM(D29:O29)</f>
        <v>304400</v>
      </c>
    </row>
    <row r="30" ht="20" customHeight="1" spans="2:16" x14ac:dyDescent="0.25">
      <c r="B30" s="21" t="s">
        <v>39</v>
      </c>
      <c r="C30" s="22" t="s">
        <v>41</v>
      </c>
      <c r="D30" s="23">
        <f>D18+D22+D28</f>
        <v>-18500</v>
      </c>
      <c r="E30" s="23">
        <f>E18+E22+E28</f>
        <v>148100</v>
      </c>
      <c r="F30" s="23">
        <f>F18+F22+F28</f>
        <v>-7000</v>
      </c>
      <c r="G30" s="23">
        <f>G18+G22+G28</f>
        <v>-22800</v>
      </c>
      <c r="H30" s="23">
        <f>H18+H22+H28</f>
        <v>120500</v>
      </c>
      <c r="I30" s="23">
        <f>I18+I22+I28</f>
        <v>5900</v>
      </c>
      <c r="J30" s="23">
        <f>J18+J22+J28</f>
        <v>12000</v>
      </c>
      <c r="K30" s="23">
        <f>K18+K22+K28</f>
        <v>16400</v>
      </c>
      <c r="L30" s="23">
        <f>L18+L22+L28</f>
        <v>90400</v>
      </c>
      <c r="M30" s="23">
        <f>M18+M22+M28</f>
        <v>38500</v>
      </c>
      <c r="N30" s="23">
        <f>N18+N22+N28</f>
        <v>38600</v>
      </c>
      <c r="O30" s="23">
        <f>O18+O22+O28</f>
        <v>-900</v>
      </c>
      <c r="P30" s="24">
        <f>SUM(D30:O30)</f>
        <v>421200</v>
      </c>
    </row>
    <row r="31" ht="20" customHeight="1" spans="2:16" x14ac:dyDescent="0.25">
      <c r="B31" s="27" t="s">
        <v>39</v>
      </c>
      <c r="C31" s="28" t="s">
        <v>42</v>
      </c>
      <c r="D31" s="29">
        <f>180000</f>
        <v>180000</v>
      </c>
      <c r="E31" s="29">
        <f>D32</f>
        <v>161500</v>
      </c>
      <c r="F31" s="29">
        <f>E32</f>
        <v>309600</v>
      </c>
      <c r="G31" s="29">
        <f>F32</f>
        <v>302600</v>
      </c>
      <c r="H31" s="29">
        <f>G32</f>
        <v>279800</v>
      </c>
      <c r="I31" s="29">
        <f>H32</f>
        <v>400300</v>
      </c>
      <c r="J31" s="29">
        <f>I32</f>
        <v>406200</v>
      </c>
      <c r="K31" s="29">
        <f>J32</f>
        <v>418200</v>
      </c>
      <c r="L31" s="29">
        <f>K32</f>
        <v>434600</v>
      </c>
      <c r="M31" s="29">
        <f>L32</f>
        <v>525000</v>
      </c>
      <c r="N31" s="29">
        <f>M32</f>
        <v>563500</v>
      </c>
      <c r="O31" s="29">
        <f>N32</f>
        <v>602100</v>
      </c>
      <c r="P31" s="30">
        <f>SUM(D31:O31)</f>
        <v>4583400</v>
      </c>
    </row>
    <row r="32" ht="20" customHeight="1" spans="2:16" x14ac:dyDescent="0.25">
      <c r="B32" s="21" t="s">
        <v>39</v>
      </c>
      <c r="C32" s="22" t="s">
        <v>43</v>
      </c>
      <c r="D32" s="23">
        <f>D31+D30</f>
        <v>161500</v>
      </c>
      <c r="E32" s="23">
        <f>E31+E30</f>
        <v>309600</v>
      </c>
      <c r="F32" s="23">
        <f>F31+F30</f>
        <v>302600</v>
      </c>
      <c r="G32" s="23">
        <f>G31+G30</f>
        <v>279800</v>
      </c>
      <c r="H32" s="23">
        <f>H31+H30</f>
        <v>400300</v>
      </c>
      <c r="I32" s="23">
        <f>I31+I30</f>
        <v>406200</v>
      </c>
      <c r="J32" s="23">
        <f>J31+J30</f>
        <v>418200</v>
      </c>
      <c r="K32" s="23">
        <f>K31+K30</f>
        <v>434600</v>
      </c>
      <c r="L32" s="23">
        <f>L31+L30</f>
        <v>525000</v>
      </c>
      <c r="M32" s="23">
        <f>M31+M30</f>
        <v>563500</v>
      </c>
      <c r="N32" s="23">
        <f>N31+N30</f>
        <v>602100</v>
      </c>
      <c r="O32" s="23">
        <f>O31+O30</f>
        <v>601200</v>
      </c>
      <c r="P32" s="24">
        <f>O32</f>
        <v>601200</v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{BEFE25BC-B946-2CBF-5E7E-75D8D5D73A42}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2026-04-30T14:22:29Z</dcterms:created>
  <dcterms:modified xsi:type="dcterms:W3CDTF">2026-04-30T14:22:29Z</dcterms:modified>
</cp:coreProperties>
</file>