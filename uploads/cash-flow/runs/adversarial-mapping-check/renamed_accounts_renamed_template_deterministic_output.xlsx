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<sst xmlns="http://schemas.openxmlformats.org/spreadsheetml/2006/main" count="63" uniqueCount="44">
  <si>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</si>
  <si>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</si>
  <si>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</si>
  <si>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</si>
  <si>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</si>
  <si>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</si>
  <si>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</si>
  <si>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</si>
  <si>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</si>
  <si>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</si>
  <si>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</si>
  <si>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</si>
  <si>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</si>
  <si>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</si>
  <si>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</si>
  <si>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</si>
  <si>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</si>
  <si>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</si>
  <si>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Client collections</t>
  </si>
  <si>
    <t>Misc operating receipts</t>
  </si>
  <si>
    <t>Vendor disbursements</t>
  </si>
  <si>
    <t>People costs</t>
  </si>
  <si>
    <t>Premises costs</t>
  </si>
  <si>
    <t>Growth spend</t>
  </si>
  <si>
    <t>Overhead and admin</t>
  </si>
  <si>
    <t>Tax settlements</t>
  </si>
  <si>
    <t>Net cash from operations</t>
  </si>
  <si>
    <t>INVESTING CASH FLOW</t>
  </si>
  <si>
    <t>Asset purchases</t>
  </si>
  <si>
    <t>Product build capitalization</t>
  </si>
  <si>
    <t>Fixed asset disposals</t>
  </si>
  <si>
    <t>Net cash from investing</t>
  </si>
  <si>
    <t>FINANCING CASH FLOW</t>
  </si>
  <si>
    <t>Credit facility proceeds</t>
  </si>
  <si>
    <t>Borrowing principal paid</t>
  </si>
  <si>
    <t>Finance charges paid</t>
  </si>
  <si>
    <t>Founder funding</t>
  </si>
  <si>
    <t>Member distributions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</si>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</sst>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17</v>
      </c>
      <c r="C12" s="18" t="s">
        <v>20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17</v>
      </c>
      <c r="C13" s="18" t="s">
        <v>21</v>
      </c>
      <c r="D13" s="19">
        <v>-15480</v>
      </c>
      <c r="E13" s="19">
        <v>-16120</v>
      </c>
      <c r="F13" s="19">
        <v>-16810</v>
      </c>
      <c r="G13" s="19">
        <v>-17450</v>
      </c>
      <c r="H13" s="19">
        <v>-18090</v>
      </c>
      <c r="I13" s="19">
        <v>-18730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17</v>
      </c>
      <c r="C16" s="18" t="s">
        <v>24</v>
      </c>
      <c r="D16" s="19">
        <v>-11100</v>
      </c>
      <c r="E16" s="19">
        <v>-1600</v>
      </c>
      <c r="F16" s="19">
        <v>-1650</v>
      </c>
      <c r="G16" s="19">
        <v>-1700</v>
      </c>
      <c r="H16" s="19">
        <v>-1750</v>
      </c>
      <c r="I16" s="19">
        <v>-1800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27</v>
      </c>
      <c r="C19" s="18" t="s">
        <v>28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27</v>
      </c>
      <c r="C21" s="18" t="s">
        <v>30</v>
      </c>
      <c r="D21" s="19">
        <v>-18000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32</v>
      </c>
      <c r="C23" s="18" t="s">
        <v>33</v>
      </c>
      <c r="D23" s="19">
        <v>-10560</v>
      </c>
      <c r="E23" s="19">
        <v>-6220</v>
      </c>
      <c r="F23" s="19">
        <v>-6430</v>
      </c>
      <c r="G23" s="19">
        <v>-6590</v>
      </c>
      <c r="H23" s="19">
        <v>-6800</v>
      </c>
      <c r="I23" s="19">
        <v>-6960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32</v>
      </c>
      <c r="C24" s="18" t="s">
        <v>34</v>
      </c>
      <c r="D24" s="19">
        <v>159000</v>
      </c>
      <c r="E24" s="19">
        <v>76000</v>
      </c>
      <c r="F24" s="19">
        <v>43000</v>
      </c>
      <c r="G24" s="19">
        <v>60000</v>
      </c>
      <c r="H24" s="19">
        <v>59000</v>
      </c>
      <c r="I24" s="19">
        <v>49500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39</v>
      </c>
      <c r="C29" s="22" t="s">
        <v>40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39</v>
      </c>
      <c r="C31" s="28" t="s">
        <v>42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39</v>
      </c>
      <c r="C32" s="22" t="s">
        <v>43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{4628926D-C95C-4595-B4B4-D3C6F730FEE0}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