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<sst xmlns="http://schemas.openxmlformats.org/spreadsheetml/2006/main" count="63" uniqueCount="44">
  <si>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</si>
  <si>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</si>
  <si>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</si>
  <si>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</si>
  <si>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</si>
  <si>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</si>
  <si>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</si>
  <si>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</si>
  <si>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</si>
  <si>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</si>
  <si>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</si>
  <si>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</si>
  <si>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</si>
  <si>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</si>
  <si>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</si>
  <si>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</si>
  <si>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</si>
  <si>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</si>
  <si>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Client collections</t>
  </si>
  <si>
    <t>Misc operating receipts</t>
  </si>
  <si>
    <t>Vendor disbursements</t>
  </si>
  <si>
    <t>People costs</t>
  </si>
  <si>
    <t>Premises costs</t>
  </si>
  <si>
    <t>Growth spend</t>
  </si>
  <si>
    <t>Overhead and admin</t>
  </si>
  <si>
    <t>Tax settlements</t>
  </si>
  <si>
    <t>Net cash from operations</t>
  </si>
  <si>
    <t>INVESTING CASH FLOW</t>
  </si>
  <si>
    <t>Asset purchases</t>
  </si>
  <si>
    <t>Product build capitalization</t>
  </si>
  <si>
    <t>Fixed asset disposals</t>
  </si>
  <si>
    <t>Net cash from investing</t>
  </si>
  <si>
    <t>FINANCING CASH FLOW</t>
  </si>
  <si>
    <t>Credit facility proceeds</t>
  </si>
  <si>
    <t>Borrowing principal paid</t>
  </si>
  <si>
    <t>Finance charges paid</t>
  </si>
  <si>
    <t>Founder funding</t>
  </si>
  <si>
    <t>Member distributions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</si>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</sst>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-14300</v>
      </c>
      <c r="E13" s="19">
        <v>-14900</v>
      </c>
      <c r="F13" s="19">
        <v>-15550</v>
      </c>
      <c r="G13" s="19">
        <v>-16150</v>
      </c>
      <c r="H13" s="19">
        <v>-16750</v>
      </c>
      <c r="I13" s="19">
        <v>-17350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-2260</v>
      </c>
      <c r="E23" s="19">
        <v>-2320</v>
      </c>
      <c r="F23" s="19">
        <v>-2380</v>
      </c>
      <c r="G23" s="19">
        <v>-2440</v>
      </c>
      <c r="H23" s="19">
        <v>-2500</v>
      </c>
      <c r="I23" s="19">
        <v>-2560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35000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{4628926D-C95C-4595-B4B4-D3C6F730FEE0}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