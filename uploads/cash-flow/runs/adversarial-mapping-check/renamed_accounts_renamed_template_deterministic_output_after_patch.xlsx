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<sst xmlns="http://schemas.openxmlformats.org/spreadsheetml/2006/main" count="63" uniqueCount="44">
  <si>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</si>
  <si>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</si>
  <si>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</si>
  <si>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</si>
  <si>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</si>
  <si>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</si>
  <si>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</si>
  <si>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</si>
  <si>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</si>
  <si>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</si>
  <si>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</si>
  <si>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</si>
  <si>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</si>
  <si>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</si>
  <si>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</si>
  <si>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</si>
  <si>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</si>
  <si>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</si>
  <si>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Client collections</t>
  </si>
  <si>
    <t>Misc operating receipts</t>
  </si>
  <si>
    <t>Vendor disbursements</t>
  </si>
  <si>
    <t>People costs</t>
  </si>
  <si>
    <t>Premises costs</t>
  </si>
  <si>
    <t>Growth spend</t>
  </si>
  <si>
    <t>Overhead and admin</t>
  </si>
  <si>
    <t>Tax settlements</t>
  </si>
  <si>
    <t>Net cash from operations</t>
  </si>
  <si>
    <t>INVESTING CASH FLOW</t>
  </si>
  <si>
    <t>Asset purchases</t>
  </si>
  <si>
    <t>Product build capitalization</t>
  </si>
  <si>
    <t>Fixed asset disposals</t>
  </si>
  <si>
    <t>Net cash from investing</t>
  </si>
  <si>
    <t>FINANCING CASH FLOW</t>
  </si>
  <si>
    <t>Credit facility proceeds</t>
  </si>
  <si>
    <t>Borrowing principal paid</t>
  </si>
  <si>
    <t>Finance charges paid</t>
  </si>
  <si>
    <t>Founder funding</t>
  </si>
  <si>
    <t>Member distributions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</si>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</sst>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17</v>
      </c>
      <c r="C12" s="18" t="s">
        <v>20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17</v>
      </c>
      <c r="C13" s="18" t="s">
        <v>21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17</v>
      </c>
      <c r="C14" s="18" t="s">
        <v>22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17</v>
      </c>
      <c r="C15" s="18" t="s">
        <v>23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17</v>
      </c>
      <c r="C16" s="18" t="s">
        <v>24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27</v>
      </c>
      <c r="C19" s="18" t="s">
        <v>28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32</v>
      </c>
      <c r="C24" s="18" t="s">
        <v>34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32</v>
      </c>
      <c r="C25" s="18" t="s">
        <v>35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32</v>
      </c>
      <c r="C26" s="18" t="s">
        <v>36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39</v>
      </c>
      <c r="C29" s="22" t="s">
        <v>40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39</v>
      </c>
      <c r="C31" s="28" t="s">
        <v>42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39</v>
      </c>
      <c r="C32" s="22" t="s">
        <v>43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{79031147-ECB8-42AD-80F1-D28960063420}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