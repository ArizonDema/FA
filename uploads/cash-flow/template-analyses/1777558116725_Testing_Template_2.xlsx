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868572e58a41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sh Flow" sheetId="1" r:id="Rd16f1354fe024a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#,##0;[Red](#,##0)"/>
  </x:numFmts>
  <x:fonts count="8">
    <x:font>
      <x:sz val="11"/>
      <x:name val="Carlito"/>
    </x:font>
    <x:font>
      <x:b/>
      <x:sz val="18"/>
      <x:color rgb="FFFFFF"/>
      <x:name val="Carlito"/>
    </x:font>
    <x:font>
      <x:i/>
      <x:sz val="11"/>
      <x:color rgb="37586E"/>
      <x:name val="Carlito"/>
    </x:font>
    <x:font>
      <x:b/>
      <x:sz val="16"/>
      <x:color rgb="17324D"/>
      <x:name val="Carlito"/>
    </x:font>
    <x:font>
      <x:b/>
      <x:sz val="9"/>
      <x:color rgb="5E7B8C"/>
      <x:name val="Carlito"/>
    </x:font>
    <x:font>
      <x:b/>
      <x:sz val="11"/>
      <x:color rgb="17324D"/>
      <x:name val="Carlito"/>
    </x:font>
    <x:font>
      <x:b/>
      <x:sz val="9"/>
      <x:color rgb="4A6475"/>
      <x:name val="Carlito"/>
    </x:font>
    <x:font>
      <x:sz val="11"/>
      <x:color rgb="17324D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17324D"/>
      </x:patternFill>
    </x:fill>
    <x:fill>
      <x:patternFill patternType="solid">
        <x:fgColor rgb="ECF4F8"/>
      </x:patternFill>
    </x:fill>
    <x:fill>
      <x:patternFill patternType="solid">
        <x:fgColor rgb="F8FBFD"/>
      </x:patternFill>
    </x:fill>
    <x:fill>
      <x:patternFill patternType="solid">
        <x:fgColor rgb="D8E8F2"/>
      </x:patternFill>
    </x:fill>
    <x:fill>
      <x:patternFill patternType="solid">
        <x:fgColor rgb="EAF5EE"/>
      </x:patternFill>
    </x:fill>
    <x:fill>
      <x:patternFill patternType="solid">
        <x:fgColor rgb="FDFEFF"/>
      </x:patternFill>
    </x:fill>
    <x:fill>
      <x:patternFill patternType="solid">
        <x:fgColor rgb="F7F0E8"/>
      </x:patternFill>
    </x:fill>
    <x:fill>
      <x:patternFill patternType="solid">
        <x:fgColor rgb="EEF0FA"/>
      </x:patternFill>
    </x:fill>
    <x:fill>
      <x:patternFill patternType="solid">
        <x:fgColor rgb="E9F1F8"/>
      </x:patternFill>
    </x:fill>
    <x:fill>
      <x:patternFill patternType="solid">
        <x:fgColor rgb="F3F8FB"/>
      </x:patternFill>
    </x:fill>
    <x:fill>
      <x:patternFill patternType="solid">
        <x:fgColor rgb="FCFDFE"/>
      </x:patternFill>
    </x:fill>
    <x:fill>
      <x:patternFill patternType="solid">
        <x:fgColor rgb="FFFFFF"/>
      </x:patternFill>
    </x:fill>
  </x:fills>
  <x:borders count="44">
    <x:border/>
    <x:border/>
    <x:border>
      <x:left style="thin">
        <x:color rgb="D7E2EA"/>
      </x:left>
      <x:top style="thin">
        <x:color rgb="D7E2EA"/>
      </x:top>
    </x:border>
    <x:border>
      <x:top style="thin">
        <x:color rgb="D7E2EA"/>
      </x:top>
    </x:border>
    <x:border>
      <x:right style="thin">
        <x:color rgb="D7E2EA"/>
      </x:right>
      <x:top style="thin">
        <x:color rgb="D7E2EA"/>
      </x:top>
    </x:border>
    <x:border>
      <x:left style="thin">
        <x:color rgb="D7E2EA"/>
      </x:left>
    </x:border>
    <x:border>
      <x:right style="thin">
        <x:color rgb="D7E2EA"/>
      </x:right>
    </x:border>
    <x:border>
      <x:left style="thin">
        <x:color rgb="D7E2EA"/>
      </x:left>
      <x:bottom style="thin">
        <x:color rgb="D7E2EA"/>
      </x:bottom>
    </x:border>
    <x:border>
      <x:bottom style="thin">
        <x:color rgb="D7E2EA"/>
      </x:bottom>
    </x:border>
    <x:border>
      <x:right style="thin">
        <x:color rgb="D7E2EA"/>
      </x:right>
      <x:bottom style="thin">
        <x:color rgb="D7E2EA"/>
      </x:bottom>
    </x:border>
    <x:border>
      <x:left style="thin">
        <x:color rgb="D7E2EA"/>
      </x:left>
      <x:top style="thin">
        <x:color rgb="D7E2EA"/>
      </x:top>
    </x:border>
    <x:border>
      <x:top style="thin">
        <x:color rgb="D7E2EA"/>
      </x:top>
    </x:border>
    <x:border>
      <x:right style="thin">
        <x:color rgb="D7E2EA"/>
      </x:right>
      <x:top style="thin">
        <x:color rgb="D7E2EA"/>
      </x:top>
    </x:border>
    <x:border>
      <x:left style="thin">
        <x:color rgb="D7E2EA"/>
      </x:left>
    </x:border>
    <x:border>
      <x:right style="thin">
        <x:color rgb="D7E2EA"/>
      </x:right>
    </x:border>
    <x:border>
      <x:left style="thin">
        <x:color rgb="D7E2EA"/>
      </x:left>
      <x:bottom style="thin">
        <x:color rgb="D7E2EA"/>
      </x:bottom>
    </x:border>
    <x:border>
      <x:bottom style="thin">
        <x:color rgb="D7E2EA"/>
      </x:bottom>
    </x:border>
    <x:border>
      <x:right style="thin">
        <x:color rgb="D7E2EA"/>
      </x:right>
      <x:bottom style="thin">
        <x:color rgb="D7E2EA"/>
      </x:bottom>
    </x:border>
    <x:border>
      <x:left style="thin">
        <x:color rgb="C9D9E4"/>
      </x:left>
      <x:top style="thin">
        <x:color rgb="C9D9E4"/>
      </x:top>
      <x:bottom style="thin">
        <x:color rgb="C9D9E4"/>
      </x:bottom>
    </x:border>
    <x:border>
      <x:top style="thin">
        <x:color rgb="C9D9E4"/>
      </x:top>
      <x:bottom style="thin">
        <x:color rgb="C9D9E4"/>
      </x:bottom>
    </x:border>
    <x:border>
      <x:right style="thin">
        <x:color rgb="C9D9E4"/>
      </x:right>
      <x:top style="thin">
        <x:color rgb="C9D9E4"/>
      </x:top>
      <x:bottom style="thin">
        <x:color rgb="C9D9E4"/>
      </x:bottom>
    </x:border>
    <x:border>
      <x:left style="thin">
        <x:color rgb="C9D9E4"/>
      </x:left>
      <x:top style="thin">
        <x:color rgb="C9D9E4"/>
      </x:top>
      <x:bottom style="thin">
        <x:color rgb="C9D9E4"/>
      </x:bottom>
    </x:border>
    <x:border>
      <x:top style="thin">
        <x:color rgb="C9D9E4"/>
      </x:top>
      <x:bottom style="thin">
        <x:color rgb="C9D9E4"/>
      </x:bottom>
    </x:border>
    <x:border>
      <x:right style="thin">
        <x:color rgb="C9D9E4"/>
      </x:right>
      <x:top style="thin">
        <x:color rgb="C9D9E4"/>
      </x:top>
      <x:bottom style="thin">
        <x:color rgb="C9D9E4"/>
      </x:bottom>
    </x:border>
    <x:border>
      <x:left style="thin">
        <x:color rgb="C8D7E2"/>
      </x:left>
      <x:top style="thin">
        <x:color rgb="C8D7E2"/>
      </x:top>
    </x:border>
    <x:border>
      <x:top style="thin">
        <x:color rgb="C8D7E2"/>
      </x:top>
    </x:border>
    <x:border>
      <x:right style="thin">
        <x:color rgb="C8D7E2"/>
      </x:right>
      <x:top style="thin">
        <x:color rgb="C8D7E2"/>
      </x:top>
    </x:border>
    <x:border>
      <x:left style="thin">
        <x:color rgb="C8D7E2"/>
      </x:left>
    </x:border>
    <x:border>
      <x:right style="thin">
        <x:color rgb="C8D7E2"/>
      </x:right>
    </x:border>
    <x:border>
      <x:left style="thin">
        <x:color rgb="C8D7E2"/>
      </x:left>
      <x:top style="thin">
        <x:color rgb="C9D9E4"/>
      </x:top>
      <x:bottom style="thin">
        <x:color rgb="C9D9E4"/>
      </x:bottom>
    </x:border>
    <x:border>
      <x:right style="thin">
        <x:color rgb="C8D7E2"/>
      </x:right>
      <x:top style="thin">
        <x:color rgb="C9D9E4"/>
      </x:top>
      <x:bottom style="thin">
        <x:color rgb="C9D9E4"/>
      </x:bottom>
    </x:border>
    <x:border>
      <x:left style="thin">
        <x:color rgb="C8D7E2"/>
      </x:left>
      <x:top style="thin">
        <x:color rgb="C9D9E4"/>
      </x:top>
      <x:bottom style="thin">
        <x:color rgb="C8D7E2"/>
      </x:bottom>
    </x:border>
    <x:border>
      <x:top style="thin">
        <x:color rgb="C9D9E4"/>
      </x:top>
      <x:bottom style="thin">
        <x:color rgb="C8D7E2"/>
      </x:bottom>
    </x:border>
    <x:border>
      <x:right style="thin">
        <x:color rgb="C8D7E2"/>
      </x:right>
      <x:top style="thin">
        <x:color rgb="C9D9E4"/>
      </x:top>
      <x:bottom style="thin">
        <x:color rgb="C8D7E2"/>
      </x:bottom>
    </x:border>
    <x:border>
      <x:left style="thin">
        <x:color rgb="C8D7E2"/>
      </x:left>
      <x:top style="thin">
        <x:color rgb="C8D7E2"/>
      </x:top>
    </x:border>
    <x:border>
      <x:top style="thin">
        <x:color rgb="C8D7E2"/>
      </x:top>
    </x:border>
    <x:border>
      <x:right style="thin">
        <x:color rgb="C8D7E2"/>
      </x:right>
      <x:top style="thin">
        <x:color rgb="C8D7E2"/>
      </x:top>
    </x:border>
    <x:border>
      <x:left style="thin">
        <x:color rgb="C8D7E2"/>
      </x:left>
    </x:border>
    <x:border>
      <x:right style="thin">
        <x:color rgb="C8D7E2"/>
      </x:right>
    </x:border>
    <x:border>
      <x:left style="thin">
        <x:color rgb="C8D7E2"/>
      </x:left>
      <x:top style="thin">
        <x:color rgb="C9D9E4"/>
      </x:top>
      <x:bottom style="thin">
        <x:color rgb="C9D9E4"/>
      </x:bottom>
    </x:border>
    <x:border>
      <x:right style="thin">
        <x:color rgb="C8D7E2"/>
      </x:right>
      <x:top style="thin">
        <x:color rgb="C9D9E4"/>
      </x:top>
      <x:bottom style="thin">
        <x:color rgb="C9D9E4"/>
      </x:bottom>
    </x:border>
    <x:border>
      <x:left style="thin">
        <x:color rgb="C8D7E2"/>
      </x:left>
      <x:top style="thin">
        <x:color rgb="C9D9E4"/>
      </x:top>
      <x:bottom style="thin">
        <x:color rgb="C8D7E2"/>
      </x:bottom>
    </x:border>
    <x:border>
      <x:top style="thin">
        <x:color rgb="C9D9E4"/>
      </x:top>
      <x:bottom style="thin">
        <x:color rgb="C8D7E2"/>
      </x:bottom>
    </x:border>
    <x:border>
      <x:right style="thin">
        <x:color rgb="C8D7E2"/>
      </x:right>
      <x:top style="thin">
        <x:color rgb="C9D9E4"/>
      </x:top>
      <x:bottom style="thin">
        <x:color rgb="C8D7E2"/>
      </x:bottom>
    </x:border>
  </x:borders>
  <x:cellStyleXfs count="1">
    <x:xf numFmtId="0" fontId="0" fillId="0" borderId="0"/>
  </x:cellStyleXfs>
  <x:cellXfs count="30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0" fillId="4" borderId="7" xfId="0" applyNumberFormat="1" applyFont="1" applyFill="1" applyBorder="1"/>
    <x:xf numFmtId="0" fontId="0" fillId="4" borderId="8" xfId="0" applyNumberFormat="1" applyFont="1" applyFill="1" applyBorder="1"/>
    <x:xf numFmtId="0" fontId="0" fillId="4" borderId="9" xfId="0" applyNumberFormat="1" applyFont="1" applyFill="1" applyBorder="1"/>
    <x:xf numFmtId="0" fontId="0" fillId="4" borderId="10" xfId="0" applyNumberFormat="1" applyFont="1" applyFill="1" applyBorder="1"/>
    <x:xf numFmtId="0" fontId="0" fillId="4" borderId="11" xfId="0" applyNumberFormat="1" applyFont="1" applyFill="1" applyBorder="1"/>
    <x:xf numFmtId="0" fontId="0" fillId="4" borderId="12" xfId="0" applyNumberFormat="1" applyFont="1" applyFill="1" applyBorder="1"/>
    <x:xf numFmtId="0" fontId="0" fillId="4" borderId="13" xfId="0" applyNumberFormat="1" applyFont="1" applyFill="1" applyBorder="1"/>
    <x:xf numFmtId="0" fontId="0" fillId="4" borderId="14" xfId="0" applyNumberFormat="1" applyFont="1" applyFill="1" applyBorder="1"/>
    <x:xf numFmtId="0" fontId="0" fillId="4" borderId="15" xfId="0" applyNumberFormat="1" applyFont="1" applyFill="1" applyBorder="1"/>
    <x:xf numFmtId="0" fontId="0" fillId="4" borderId="16" xfId="0" applyNumberFormat="1" applyFont="1" applyFill="1" applyBorder="1"/>
    <x:xf numFmtId="0" fontId="0" fillId="4" borderId="17" xfId="0" applyNumberFormat="1" applyFont="1" applyFill="1" applyBorder="1"/>
    <x:xf numFmtId="0" fontId="0" fillId="4" borderId="2" xfId="0" applyNumberFormat="1" applyFont="1" applyFill="1" applyBorder="1" applyAlignment="1">
      <x:alignment horizontal="center"/>
    </x:xf>
    <x:xf numFmtId="0" fontId="0" fillId="4" borderId="3" xfId="0" applyNumberFormat="1" applyFont="1" applyFill="1" applyBorder="1" applyAlignment="1">
      <x:alignment horizontal="center"/>
    </x:xf>
    <x:xf numFmtId="0" fontId="0" fillId="4" borderId="4" xfId="0" applyNumberFormat="1" applyFont="1" applyFill="1" applyBorder="1" applyAlignment="1">
      <x:alignment horizontal="center"/>
    </x:xf>
    <x:xf numFmtId="0" fontId="0" fillId="4" borderId="5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 applyAlignment="1">
      <x:alignment horizontal="center"/>
    </x:xf>
    <x:xf numFmtId="0" fontId="0" fillId="4" borderId="6" xfId="0" applyNumberFormat="1" applyFont="1" applyFill="1" applyBorder="1" applyAlignment="1">
      <x:alignment horizontal="center"/>
    </x:xf>
    <x:xf numFmtId="0" fontId="0" fillId="4" borderId="7" xfId="0" applyNumberFormat="1" applyFont="1" applyFill="1" applyBorder="1" applyAlignment="1">
      <x:alignment horizontal="center"/>
    </x:xf>
    <x:xf numFmtId="0" fontId="0" fillId="4" borderId="8" xfId="0" applyNumberFormat="1" applyFont="1" applyFill="1" applyBorder="1" applyAlignment="1">
      <x:alignment horizontal="center"/>
    </x:xf>
    <x:xf numFmtId="0" fontId="0" fillId="4" borderId="9" xfId="0" applyNumberFormat="1" applyFont="1" applyFill="1" applyBorder="1" applyAlignment="1">
      <x:alignment horizontal="center"/>
    </x:xf>
    <x:xf numFmtId="0" fontId="0" fillId="4" borderId="10" xfId="0" applyNumberFormat="1" applyFont="1" applyFill="1" applyBorder="1" applyAlignment="1">
      <x:alignment horizontal="center"/>
    </x:xf>
    <x:xf numFmtId="0" fontId="0" fillId="4" borderId="11" xfId="0" applyNumberFormat="1" applyFont="1" applyFill="1" applyBorder="1" applyAlignment="1">
      <x:alignment horizontal="center"/>
    </x:xf>
    <x:xf numFmtId="0" fontId="0" fillId="4" borderId="12" xfId="0" applyNumberFormat="1" applyFont="1" applyFill="1" applyBorder="1" applyAlignment="1">
      <x:alignment horizontal="center"/>
    </x:xf>
    <x:xf numFmtId="0" fontId="0" fillId="4" borderId="13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 applyAlignment="1">
      <x:alignment horizontal="center"/>
    </x:xf>
    <x:xf numFmtId="0" fontId="0" fillId="4" borderId="14" xfId="0" applyNumberFormat="1" applyFont="1" applyFill="1" applyBorder="1" applyAlignment="1">
      <x:alignment horizontal="center"/>
    </x:xf>
    <x:xf numFmtId="0" fontId="0" fillId="4" borderId="15" xfId="0" applyNumberFormat="1" applyFont="1" applyFill="1" applyBorder="1" applyAlignment="1">
      <x:alignment horizontal="center"/>
    </x:xf>
    <x:xf numFmtId="0" fontId="0" fillId="4" borderId="16" xfId="0" applyNumberFormat="1" applyFont="1" applyFill="1" applyBorder="1" applyAlignment="1">
      <x:alignment horizontal="center"/>
    </x:xf>
    <x:xf numFmtId="0" fontId="0" fillId="4" borderId="17" xfId="0" applyNumberFormat="1" applyFont="1" applyFill="1" applyBorder="1" applyAlignment="1">
      <x:alignment horizontal="center"/>
    </x:xf>
    <x:xf numFmtId="0" fontId="0" fillId="4" borderId="2" xfId="0" applyNumberFormat="1" applyFont="1" applyFill="1" applyBorder="1" applyAlignment="1">
      <x:alignment horizontal="center" vertical="center"/>
    </x:xf>
    <x:xf numFmtId="0" fontId="0" fillId="4" borderId="3" xfId="0" applyNumberFormat="1" applyFont="1" applyFill="1" applyBorder="1" applyAlignment="1">
      <x:alignment horizontal="center" vertical="center"/>
    </x:xf>
    <x:xf numFmtId="0" fontId="0" fillId="4" borderId="4" xfId="0" applyNumberFormat="1" applyFont="1" applyFill="1" applyBorder="1" applyAlignment="1">
      <x:alignment horizontal="center" vertical="center"/>
    </x:xf>
    <x:xf numFmtId="0" fontId="0" fillId="4" borderId="5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 applyAlignment="1">
      <x:alignment horizontal="center" vertical="center"/>
    </x:xf>
    <x:xf numFmtId="0" fontId="0" fillId="4" borderId="6" xfId="0" applyNumberFormat="1" applyFont="1" applyFill="1" applyBorder="1" applyAlignment="1">
      <x:alignment horizontal="center" vertical="center"/>
    </x:xf>
    <x:xf numFmtId="0" fontId="0" fillId="4" borderId="7" xfId="0" applyNumberFormat="1" applyFont="1" applyFill="1" applyBorder="1" applyAlignment="1">
      <x:alignment horizontal="center" vertical="center"/>
    </x:xf>
    <x:xf numFmtId="0" fontId="0" fillId="4" borderId="8" xfId="0" applyNumberFormat="1" applyFont="1" applyFill="1" applyBorder="1" applyAlignment="1">
      <x:alignment horizontal="center" vertical="center"/>
    </x:xf>
    <x:xf numFmtId="0" fontId="0" fillId="4" borderId="9" xfId="0" applyNumberFormat="1" applyFont="1" applyFill="1" applyBorder="1" applyAlignment="1">
      <x:alignment horizontal="center" vertical="center"/>
    </x:xf>
    <x:xf numFmtId="0" fontId="0" fillId="4" borderId="10" xfId="0" applyNumberFormat="1" applyFont="1" applyFill="1" applyBorder="1" applyAlignment="1">
      <x:alignment horizontal="center" vertical="center"/>
    </x:xf>
    <x:xf numFmtId="0" fontId="0" fillId="4" borderId="11" xfId="0" applyNumberFormat="1" applyFont="1" applyFill="1" applyBorder="1" applyAlignment="1">
      <x:alignment horizontal="center" vertical="center"/>
    </x:xf>
    <x:xf numFmtId="0" fontId="0" fillId="4" borderId="12" xfId="0" applyNumberFormat="1" applyFont="1" applyFill="1" applyBorder="1" applyAlignment="1">
      <x:alignment horizontal="center" vertical="center"/>
    </x:xf>
    <x:xf numFmtId="0" fontId="0" fillId="4" borderId="13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 applyAlignment="1">
      <x:alignment horizontal="center" vertical="center"/>
    </x:xf>
    <x:xf numFmtId="0" fontId="0" fillId="4" borderId="14" xfId="0" applyNumberFormat="1" applyFont="1" applyFill="1" applyBorder="1" applyAlignment="1">
      <x:alignment horizontal="center" vertical="center"/>
    </x:xf>
    <x:xf numFmtId="0" fontId="0" fillId="4" borderId="15" xfId="0" applyNumberFormat="1" applyFont="1" applyFill="1" applyBorder="1" applyAlignment="1">
      <x:alignment horizontal="center" vertical="center"/>
    </x:xf>
    <x:xf numFmtId="0" fontId="0" fillId="4" borderId="16" xfId="0" applyNumberFormat="1" applyFont="1" applyFill="1" applyBorder="1" applyAlignment="1">
      <x:alignment horizontal="center" vertical="center"/>
    </x:xf>
    <x:xf numFmtId="0" fontId="0" fillId="4" borderId="17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3" fillId="4" borderId="4" xfId="0" applyNumberFormat="1" applyFont="1" applyFill="1" applyBorder="1" applyAlignment="1">
      <x:alignment horizontal="center" vertical="center"/>
    </x:xf>
    <x:xf numFmtId="0" fontId="3" fillId="4" borderId="5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6" xfId="0" applyNumberFormat="1" applyFont="1" applyFill="1" applyBorder="1" applyAlignment="1">
      <x:alignment horizontal="center" vertical="center"/>
    </x:xf>
    <x:xf numFmtId="0" fontId="3" fillId="4" borderId="7" xfId="0" applyNumberFormat="1" applyFont="1" applyFill="1" applyBorder="1" applyAlignment="1">
      <x:alignment horizontal="center" vertical="center"/>
    </x:xf>
    <x:xf numFmtId="0" fontId="3" fillId="4" borderId="8" xfId="0" applyNumberFormat="1" applyFont="1" applyFill="1" applyBorder="1" applyAlignment="1">
      <x:alignment horizontal="center" vertical="center"/>
    </x:xf>
    <x:xf numFmtId="0" fontId="3" fillId="4" borderId="9" xfId="0" applyNumberFormat="1" applyFont="1" applyFill="1" applyBorder="1" applyAlignment="1">
      <x:alignment horizontal="center" vertical="center"/>
    </x:xf>
    <x:xf numFmtId="0" fontId="3" fillId="4" borderId="10" xfId="0" applyNumberFormat="1" applyFont="1" applyFill="1" applyBorder="1" applyAlignment="1">
      <x:alignment horizontal="center" vertical="center"/>
    </x:xf>
    <x:xf numFmtId="0" fontId="3" fillId="4" borderId="11" xfId="0" applyNumberFormat="1" applyFont="1" applyFill="1" applyBorder="1" applyAlignment="1">
      <x:alignment horizontal="center" vertical="center"/>
    </x:xf>
    <x:xf numFmtId="0" fontId="3" fillId="4" borderId="12" xfId="0" applyNumberFormat="1" applyFont="1" applyFill="1" applyBorder="1" applyAlignment="1">
      <x:alignment horizontal="center" vertical="center"/>
    </x:xf>
    <x:xf numFmtId="0" fontId="3" fillId="4" borderId="13" xfId="0" applyNumberFormat="1" applyFont="1" applyFill="1" applyBorder="1" applyAlignment="1">
      <x:alignment horizontal="center" vertic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14" xfId="0" applyNumberFormat="1" applyFont="1" applyFill="1" applyBorder="1" applyAlignment="1">
      <x:alignment horizontal="center" vertical="center"/>
    </x:xf>
    <x:xf numFmtId="0" fontId="3" fillId="4" borderId="15" xfId="0" applyNumberFormat="1" applyFont="1" applyFill="1" applyBorder="1" applyAlignment="1">
      <x:alignment horizontal="center" vertical="center"/>
    </x:xf>
    <x:xf numFmtId="0" fontId="3" fillId="4" borderId="16" xfId="0" applyNumberFormat="1" applyFont="1" applyFill="1" applyBorder="1" applyAlignment="1">
      <x:alignment horizontal="center" vertical="center"/>
    </x:xf>
    <x:xf numFmtId="0" fontId="3" fillId="4" borderId="17" xfId="0" applyNumberFormat="1" applyFont="1" applyFill="1" applyBorder="1" applyAlignment="1">
      <x:alignment horizontal="center" vertical="center"/>
    </x:xf>
    <x:xf numFmtId="0" fontId="4" fillId="4" borderId="2" xfId="0" applyNumberFormat="1" applyFont="1" applyFill="1" applyBorder="1" applyAlignment="1">
      <x:alignment horizontal="center" vertical="center"/>
    </x:xf>
    <x:xf numFmtId="0" fontId="4" fillId="4" borderId="3" xfId="0" applyNumberFormat="1" applyFont="1" applyFill="1" applyBorder="1" applyAlignment="1">
      <x:alignment horizontal="center" vertical="center"/>
    </x:xf>
    <x:xf numFmtId="0" fontId="4" fillId="4" borderId="4" xfId="0" applyNumberFormat="1" applyFont="1" applyFill="1" applyBorder="1" applyAlignment="1">
      <x:alignment horizontal="center" vertical="center"/>
    </x:xf>
    <x:xf numFmtId="0" fontId="4" fillId="4" borderId="10" xfId="0" applyNumberFormat="1" applyFont="1" applyFill="1" applyBorder="1" applyAlignment="1">
      <x:alignment horizontal="center" vertical="center"/>
    </x:xf>
    <x:xf numFmtId="0" fontId="4" fillId="4" borderId="11" xfId="0" applyNumberFormat="1" applyFont="1" applyFill="1" applyBorder="1" applyAlignment="1">
      <x:alignment horizontal="center" vertical="center"/>
    </x:xf>
    <x:xf numFmtId="0" fontId="4" fillId="4" borderId="12" xfId="0" applyNumberFormat="1" applyFont="1" applyFill="1" applyBorder="1" applyAlignment="1">
      <x:alignment horizontal="center" vertical="center"/>
    </x:xf>
    <x:xf numFmtId="200" fontId="3" fillId="4" borderId="5" xfId="0" applyNumberFormat="1" applyFont="1" applyFill="1" applyBorder="1" applyAlignment="1">
      <x:alignment horizontal="center" vertical="center"/>
    </x:xf>
    <x:xf numFmtId="200" fontId="3" fillId="4" borderId="13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6" fillId="6" borderId="0" xfId="0" applyNumberFormat="1" applyFont="1" applyFill="1" applyBorder="1"/>
    <x:xf numFmtId="0" fontId="6" fillId="6" borderId="1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201" fontId="0" fillId="7" borderId="0" xfId="0" applyNumberFormat="1" applyFont="1" applyFill="1" applyBorder="1"/>
    <x:xf numFmtId="201" fontId="0" fillId="0" borderId="0" xfId="0" applyNumberFormat="1" applyFont="1" applyFill="1" applyBorder="1"/>
    <x:xf numFmtId="201" fontId="0" fillId="7" borderId="1" xfId="0" applyNumberFormat="1" applyFont="1" applyFill="1" applyBorder="1"/>
    <x:xf numFmtId="201" fontId="0" fillId="0" borderId="1" xfId="0" applyNumberFormat="1" applyFont="1" applyFill="1" applyBorder="1"/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0" fontId="0" fillId="8" borderId="0" xfId="0" applyNumberFormat="1" applyFont="1" applyFill="1" applyBorder="1"/>
    <x:xf numFmtId="0" fontId="0" fillId="8" borderId="1" xfId="0" applyNumberFormat="1" applyFont="1" applyFill="1" applyBorder="1"/>
    <x:xf numFmtId="0" fontId="6" fillId="8" borderId="0" xfId="0" applyNumberFormat="1" applyFont="1" applyFill="1" applyBorder="1"/>
    <x:xf numFmtId="0" fontId="6" fillId="8" borderId="1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0" fontId="6" fillId="8" borderId="1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0" fillId="9" borderId="1" xfId="0" applyNumberFormat="1" applyFont="1" applyFill="1" applyBorder="1"/>
    <x:xf numFmtId="0" fontId="6" fillId="9" borderId="0" xfId="0" applyNumberFormat="1" applyFont="1" applyFill="1" applyBorder="1"/>
    <x:xf numFmtId="0" fontId="6" fillId="9" borderId="1" xfId="0" applyNumberFormat="1" applyFont="1" applyFill="1" applyBorder="1"/>
    <x:xf numFmtId="0" fontId="6" fillId="9" borderId="0" xfId="0" applyNumberFormat="1" applyFont="1" applyFill="1" applyBorder="1" applyAlignment="1">
      <x:alignment wrapText="1"/>
    </x:xf>
    <x:xf numFmtId="0" fontId="6" fillId="9" borderId="1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0" fillId="10" borderId="1" xfId="0" applyNumberFormat="1" applyFont="1" applyFill="1" applyBorder="1"/>
    <x:xf numFmtId="0" fontId="6" fillId="10" borderId="0" xfId="0" applyNumberFormat="1" applyFont="1" applyFill="1" applyBorder="1"/>
    <x:xf numFmtId="0" fontId="6" fillId="10" borderId="1" xfId="0" applyNumberFormat="1" applyFont="1" applyFill="1" applyBorder="1"/>
    <x:xf numFmtId="0" fontId="6" fillId="10" borderId="0" xfId="0" applyNumberFormat="1" applyFont="1" applyFill="1" applyBorder="1" applyAlignment="1">
      <x:alignment wrapText="1"/>
    </x:xf>
    <x:xf numFmtId="0" fontId="6" fillId="10" borderId="1" xfId="0" applyNumberFormat="1" applyFont="1" applyFill="1" applyBorder="1" applyAlignment="1">
      <x:alignment wrapText="1"/>
    </x:xf>
    <x:xf numFmtId="0" fontId="6" fillId="11" borderId="0" xfId="0" applyNumberFormat="1" applyFont="1" applyFill="1" applyBorder="1" applyAlignment="1">
      <x:alignment wrapText="1"/>
    </x:xf>
    <x:xf numFmtId="0" fontId="7" fillId="11" borderId="0" xfId="0" applyNumberFormat="1" applyFont="1" applyFill="1" applyBorder="1"/>
    <x:xf numFmtId="201" fontId="0" fillId="11" borderId="0" xfId="0" applyNumberFormat="1" applyFont="1" applyFill="1" applyBorder="1"/>
    <x:xf numFmtId="0" fontId="6" fillId="11" borderId="1" xfId="0" applyNumberFormat="1" applyFont="1" applyFill="1" applyBorder="1" applyAlignment="1">
      <x:alignment wrapText="1"/>
    </x:xf>
    <x:xf numFmtId="0" fontId="7" fillId="11" borderId="1" xfId="0" applyNumberFormat="1" applyFont="1" applyFill="1" applyBorder="1"/>
    <x:xf numFmtId="201" fontId="0" fillId="11" borderId="1" xfId="0" applyNumberFormat="1" applyFont="1" applyFill="1" applyBorder="1"/>
    <x:xf numFmtId="0" fontId="5" fillId="11" borderId="0" xfId="0" applyNumberFormat="1" applyFont="1" applyFill="1" applyBorder="1"/>
    <x:xf numFmtId="201" fontId="5" fillId="11" borderId="0" xfId="0" applyNumberFormat="1" applyFont="1" applyFill="1" applyBorder="1"/>
    <x:xf numFmtId="0" fontId="5" fillId="11" borderId="1" xfId="0" applyNumberFormat="1" applyFont="1" applyFill="1" applyBorder="1"/>
    <x:xf numFmtId="201" fontId="5" fillId="11" borderId="1" xfId="0" applyNumberFormat="1" applyFont="1" applyFill="1" applyBorder="1"/>
    <x:xf numFmtId="0" fontId="6" fillId="11" borderId="18" xfId="0" applyNumberFormat="1" applyFont="1" applyFill="1" applyBorder="1" applyAlignment="1">
      <x:alignment wrapText="1"/>
    </x:xf>
    <x:xf numFmtId="0" fontId="5" fillId="11" borderId="19" xfId="0" applyNumberFormat="1" applyFont="1" applyFill="1" applyBorder="1"/>
    <x:xf numFmtId="201" fontId="5" fillId="11" borderId="19" xfId="0" applyNumberFormat="1" applyFont="1" applyFill="1" applyBorder="1"/>
    <x:xf numFmtId="201" fontId="5" fillId="11" borderId="20" xfId="0" applyNumberFormat="1" applyFont="1" applyFill="1" applyBorder="1"/>
    <x:xf numFmtId="0" fontId="6" fillId="11" borderId="21" xfId="0" applyNumberFormat="1" applyFont="1" applyFill="1" applyBorder="1" applyAlignment="1">
      <x:alignment wrapText="1"/>
    </x:xf>
    <x:xf numFmtId="0" fontId="5" fillId="11" borderId="22" xfId="0" applyNumberFormat="1" applyFont="1" applyFill="1" applyBorder="1"/>
    <x:xf numFmtId="201" fontId="5" fillId="11" borderId="22" xfId="0" applyNumberFormat="1" applyFont="1" applyFill="1" applyBorder="1"/>
    <x:xf numFmtId="201" fontId="5" fillId="11" borderId="23" xfId="0" applyNumberFormat="1" applyFont="1" applyFill="1" applyBorder="1"/>
    <x:xf numFmtId="0" fontId="0" fillId="11" borderId="0" xfId="0" applyNumberFormat="1" applyFont="1" applyFill="1" applyBorder="1"/>
    <x:xf numFmtId="0" fontId="0" fillId="11" borderId="1" xfId="0" applyNumberFormat="1" applyFont="1" applyFill="1" applyBorder="1"/>
    <x:xf numFmtId="0" fontId="0" fillId="11" borderId="18" xfId="0" applyNumberFormat="1" applyFont="1" applyFill="1" applyBorder="1"/>
    <x:xf numFmtId="0" fontId="5" fillId="11" borderId="20" xfId="0" applyNumberFormat="1" applyFont="1" applyFill="1" applyBorder="1"/>
    <x:xf numFmtId="0" fontId="0" fillId="11" borderId="21" xfId="0" applyNumberFormat="1" applyFont="1" applyFill="1" applyBorder="1"/>
    <x:xf numFmtId="0" fontId="5" fillId="11" borderId="23" xfId="0" applyNumberFormat="1" applyFont="1" applyFill="1" applyBorder="1"/>
    <x:xf numFmtId="0" fontId="0" fillId="12" borderId="0" xfId="0" applyNumberFormat="1" applyFont="1" applyFill="1" applyBorder="1"/>
    <x:xf numFmtId="0" fontId="0" fillId="12" borderId="1" xfId="0" applyNumberFormat="1" applyFont="1" applyFill="1" applyBorder="1"/>
    <x:xf numFmtId="0" fontId="5" fillId="12" borderId="0" xfId="0" applyNumberFormat="1" applyFont="1" applyFill="1" applyBorder="1"/>
    <x:xf numFmtId="0" fontId="5" fillId="12" borderId="1" xfId="0" applyNumberFormat="1" applyFont="1" applyFill="1" applyBorder="1"/>
    <x:xf numFmtId="201" fontId="0" fillId="13" borderId="0" xfId="0" applyNumberFormat="1" applyFont="1" applyFill="1" applyBorder="1"/>
    <x:xf numFmtId="201" fontId="0" fillId="13" borderId="1" xfId="0" applyNumberFormat="1" applyFont="1" applyFill="1" applyBorder="1"/>
    <x:xf numFmtId="0" fontId="5" fillId="13" borderId="0" xfId="0" applyNumberFormat="1" applyFont="1" applyFill="1" applyBorder="1"/>
    <x:xf numFmtId="0" fontId="5" fillId="13" borderId="1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5" fillId="11" borderId="19" xfId="0" applyNumberFormat="1" applyFont="1" applyFill="1" applyBorder="1" applyAlignment="1">
      <x:alignment wrapText="1"/>
    </x:xf>
    <x:xf numFmtId="0" fontId="5" fillId="12" borderId="0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wrapText="1"/>
    </x:xf>
    <x:xf numFmtId="0" fontId="5" fillId="11" borderId="22" xfId="0" applyNumberFormat="1" applyFont="1" applyFill="1" applyBorder="1" applyAlignment="1">
      <x:alignment wrapText="1"/>
    </x:xf>
    <x:xf numFmtId="0" fontId="5" fillId="12" borderId="1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horizontal="center" wrapText="1"/>
    </x:xf>
    <x:xf numFmtId="0" fontId="6" fillId="11" borderId="18" xfId="0" applyNumberFormat="1" applyFont="1" applyFill="1" applyBorder="1" applyAlignment="1">
      <x:alignment horizontal="center" wrapText="1"/>
    </x:xf>
    <x:xf numFmtId="0" fontId="6" fillId="8" borderId="0" xfId="0" applyNumberFormat="1" applyFont="1" applyFill="1" applyBorder="1" applyAlignment="1">
      <x:alignment horizontal="center" wrapText="1"/>
    </x:xf>
    <x:xf numFmtId="0" fontId="6" fillId="9" borderId="0" xfId="0" applyNumberFormat="1" applyFont="1" applyFill="1" applyBorder="1" applyAlignment="1">
      <x:alignment horizontal="center" wrapText="1"/>
    </x:xf>
    <x:xf numFmtId="0" fontId="6" fillId="10" borderId="0" xfId="0" applyNumberFormat="1" applyFont="1" applyFill="1" applyBorder="1" applyAlignment="1">
      <x:alignment horizontal="center" wrapText="1"/>
    </x:xf>
    <x:xf numFmtId="0" fontId="0" fillId="12" borderId="0" xfId="0" applyNumberFormat="1" applyFont="1" applyFill="1" applyBorder="1" applyAlignment="1">
      <x:alignment horizontal="center"/>
    </x:xf>
    <x:xf numFmtId="0" fontId="0" fillId="11" borderId="18" xfId="0" applyNumberFormat="1" applyFont="1" applyFill="1" applyBorder="1" applyAlignment="1">
      <x:alignment horizontal="center"/>
    </x:xf>
    <x:xf numFmtId="0" fontId="6" fillId="6" borderId="1" xfId="0" applyNumberFormat="1" applyFont="1" applyFill="1" applyBorder="1" applyAlignment="1">
      <x:alignment horizontal="center" wrapText="1"/>
    </x:xf>
    <x:xf numFmtId="0" fontId="6" fillId="11" borderId="21" xfId="0" applyNumberFormat="1" applyFont="1" applyFill="1" applyBorder="1" applyAlignment="1">
      <x:alignment horizontal="center" wrapText="1"/>
    </x:xf>
    <x:xf numFmtId="0" fontId="6" fillId="8" borderId="1" xfId="0" applyNumberFormat="1" applyFont="1" applyFill="1" applyBorder="1" applyAlignment="1">
      <x:alignment horizontal="center" wrapText="1"/>
    </x:xf>
    <x:xf numFmtId="0" fontId="6" fillId="9" borderId="1" xfId="0" applyNumberFormat="1" applyFont="1" applyFill="1" applyBorder="1" applyAlignment="1">
      <x:alignment horizontal="center" wrapText="1"/>
    </x:xf>
    <x:xf numFmtId="0" fontId="6" fillId="10" borderId="1" xfId="0" applyNumberFormat="1" applyFont="1" applyFill="1" applyBorder="1" applyAlignment="1">
      <x:alignment horizontal="center" wrapText="1"/>
    </x:xf>
    <x:xf numFmtId="0" fontId="0" fillId="12" borderId="1" xfId="0" applyNumberFormat="1" applyFont="1" applyFill="1" applyBorder="1" applyAlignment="1">
      <x:alignment horizontal="center"/>
    </x:xf>
    <x:xf numFmtId="0" fontId="0" fillId="11" borderId="21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right"/>
    </x:xf>
    <x:xf numFmtId="201" fontId="0" fillId="13" borderId="0" xfId="0" applyNumberFormat="1" applyFont="1" applyFill="1" applyBorder="1" applyAlignment="1">
      <x:alignment horizontal="right"/>
    </x:xf>
    <x:xf numFmtId="201" fontId="0" fillId="0" borderId="0" xfId="0" applyNumberFormat="1" applyFont="1" applyFill="1" applyBorder="1" applyAlignment="1">
      <x:alignment horizontal="right"/>
    </x:xf>
    <x:xf numFmtId="201" fontId="5" fillId="11" borderId="19" xfId="0" applyNumberFormat="1" applyFont="1" applyFill="1" applyBorder="1" applyAlignment="1">
      <x:alignment horizontal="right"/>
    </x:xf>
    <x:xf numFmtId="201" fontId="5" fillId="11" borderId="20" xfId="0" applyNumberFormat="1" applyFont="1" applyFill="1" applyBorder="1" applyAlignment="1">
      <x:alignment horizontal="right"/>
    </x:xf>
    <x:xf numFmtId="201" fontId="0" fillId="7" borderId="0" xfId="0" applyNumberFormat="1" applyFont="1" applyFill="1" applyBorder="1" applyAlignment="1">
      <x:alignment horizontal="right"/>
    </x:xf>
    <x:xf numFmtId="0" fontId="5" fillId="13" borderId="0" xfId="0" applyNumberFormat="1" applyFont="1" applyFill="1" applyBorder="1" applyAlignment="1">
      <x:alignment horizontal="right"/>
    </x:xf>
    <x:xf numFmtId="0" fontId="5" fillId="12" borderId="0" xfId="0" applyNumberFormat="1" applyFont="1" applyFill="1" applyBorder="1" applyAlignment="1">
      <x:alignment horizontal="right"/>
    </x:xf>
    <x:xf numFmtId="0" fontId="5" fillId="11" borderId="19" xfId="0" applyNumberFormat="1" applyFont="1" applyFill="1" applyBorder="1" applyAlignment="1">
      <x:alignment horizontal="right"/>
    </x:xf>
    <x:xf numFmtId="0" fontId="5" fillId="11" borderId="20" xfId="0" applyNumberFormat="1" applyFont="1" applyFill="1" applyBorder="1" applyAlignment="1">
      <x:alignment horizontal="right"/>
    </x:xf>
    <x:xf numFmtId="0" fontId="5" fillId="5" borderId="1" xfId="0" applyNumberFormat="1" applyFont="1" applyFill="1" applyBorder="1" applyAlignment="1">
      <x:alignment horizontal="right"/>
    </x:xf>
    <x:xf numFmtId="201" fontId="0" fillId="13" borderId="1" xfId="0" applyNumberFormat="1" applyFont="1" applyFill="1" applyBorder="1" applyAlignment="1">
      <x:alignment horizontal="right"/>
    </x:xf>
    <x:xf numFmtId="201" fontId="0" fillId="0" borderId="1" xfId="0" applyNumberFormat="1" applyFont="1" applyFill="1" applyBorder="1" applyAlignment="1">
      <x:alignment horizontal="right"/>
    </x:xf>
    <x:xf numFmtId="201" fontId="5" fillId="11" borderId="22" xfId="0" applyNumberFormat="1" applyFont="1" applyFill="1" applyBorder="1" applyAlignment="1">
      <x:alignment horizontal="right"/>
    </x:xf>
    <x:xf numFmtId="201" fontId="5" fillId="11" borderId="23" xfId="0" applyNumberFormat="1" applyFont="1" applyFill="1" applyBorder="1" applyAlignment="1">
      <x:alignment horizontal="right"/>
    </x:xf>
    <x:xf numFmtId="201" fontId="0" fillId="7" borderId="1" xfId="0" applyNumberFormat="1" applyFont="1" applyFill="1" applyBorder="1" applyAlignment="1">
      <x:alignment horizontal="right"/>
    </x:xf>
    <x:xf numFmtId="0" fontId="5" fillId="13" borderId="1" xfId="0" applyNumberFormat="1" applyFont="1" applyFill="1" applyBorder="1" applyAlignment="1">
      <x:alignment horizontal="right"/>
    </x:xf>
    <x:xf numFmtId="0" fontId="5" fillId="12" borderId="1" xfId="0" applyNumberFormat="1" applyFont="1" applyFill="1" applyBorder="1" applyAlignment="1">
      <x:alignment horizontal="right"/>
    </x:xf>
    <x:xf numFmtId="0" fontId="5" fillId="11" borderId="22" xfId="0" applyNumberFormat="1" applyFont="1" applyFill="1" applyBorder="1" applyAlignment="1">
      <x:alignment horizontal="right"/>
    </x:xf>
    <x:xf numFmtId="0" fontId="5" fillId="11" borderId="23" xfId="0" applyNumberFormat="1" applyFont="1" applyFill="1" applyBorder="1" applyAlignment="1">
      <x:alignment horizontal="right"/>
    </x:xf>
    <x:xf numFmtId="0" fontId="5" fillId="5" borderId="0" xfId="0" applyNumberFormat="1" applyFont="1" applyFill="1" applyBorder="1" applyAlignment="1">
      <x:alignment horizontal="center" vertical="center"/>
    </x:xf>
    <x:xf numFmtId="0" fontId="5" fillId="5" borderId="0" xfId="0" applyNumberFormat="1" applyFont="1" applyFill="1" applyBorder="1" applyAlignment="1">
      <x:alignment horizontal="right" vertical="center"/>
    </x:xf>
    <x:xf numFmtId="0" fontId="6" fillId="6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201" fontId="0" fillId="13" borderId="0" xfId="0" applyNumberFormat="1" applyFont="1" applyFill="1" applyBorder="1" applyAlignment="1">
      <x:alignment horizontal="right" vertical="center"/>
    </x:xf>
    <x:xf numFmtId="201" fontId="0" fillId="0" borderId="0" xfId="0" applyNumberFormat="1" applyFont="1" applyFill="1" applyBorder="1" applyAlignment="1">
      <x:alignment horizontal="right" vertical="center"/>
    </x:xf>
    <x:xf numFmtId="0" fontId="6" fillId="11" borderId="18" xfId="0" applyNumberFormat="1" applyFont="1" applyFill="1" applyBorder="1" applyAlignment="1">
      <x:alignment horizontal="center" vertical="center" wrapText="1"/>
    </x:xf>
    <x:xf numFmtId="0" fontId="5" fillId="11" borderId="19" xfId="0" applyNumberFormat="1" applyFont="1" applyFill="1" applyBorder="1" applyAlignment="1">
      <x:alignment vertical="center" wrapText="1"/>
    </x:xf>
    <x:xf numFmtId="201" fontId="5" fillId="11" borderId="19" xfId="0" applyNumberFormat="1" applyFont="1" applyFill="1" applyBorder="1" applyAlignment="1">
      <x:alignment horizontal="right" vertical="center"/>
    </x:xf>
    <x:xf numFmtId="201" fontId="5" fillId="11" borderId="20" xfId="0" applyNumberFormat="1" applyFont="1" applyFill="1" applyBorder="1" applyAlignment="1">
      <x:alignment horizontal="right" vertical="center"/>
    </x:xf>
    <x:xf numFmtId="0" fontId="6" fillId="8" borderId="0" xfId="0" applyNumberFormat="1" applyFont="1" applyFill="1" applyBorder="1" applyAlignment="1">
      <x:alignment horizontal="center" vertical="center" wrapText="1"/>
    </x:xf>
    <x:xf numFmtId="0" fontId="6" fillId="9" borderId="0" xfId="0" applyNumberFormat="1" applyFont="1" applyFill="1" applyBorder="1" applyAlignment="1">
      <x:alignment horizontal="center" vertical="center" wrapText="1"/>
    </x:xf>
    <x:xf numFmtId="0" fontId="6" fillId="10" borderId="0" xfId="0" applyNumberFormat="1" applyFont="1" applyFill="1" applyBorder="1" applyAlignment="1">
      <x:alignment horizontal="center" vertical="center" wrapText="1"/>
    </x:xf>
    <x:xf numFmtId="201" fontId="0" fillId="7" borderId="0" xfId="0" applyNumberFormat="1" applyFont="1" applyFill="1" applyBorder="1" applyAlignment="1">
      <x:alignment horizontal="right" vertical="center"/>
    </x:xf>
    <x:xf numFmtId="0" fontId="0" fillId="12" borderId="0" xfId="0" applyNumberFormat="1" applyFont="1" applyFill="1" applyBorder="1" applyAlignment="1">
      <x:alignment horizontal="center" vertical="center"/>
    </x:xf>
    <x:xf numFmtId="0" fontId="5" fillId="12" borderId="0" xfId="0" applyNumberFormat="1" applyFont="1" applyFill="1" applyBorder="1" applyAlignment="1">
      <x:alignment vertical="center" wrapText="1"/>
    </x:xf>
    <x:xf numFmtId="0" fontId="5" fillId="13" borderId="0" xfId="0" applyNumberFormat="1" applyFont="1" applyFill="1" applyBorder="1" applyAlignment="1">
      <x:alignment horizontal="right" vertical="center"/>
    </x:xf>
    <x:xf numFmtId="0" fontId="5" fillId="12" borderId="0" xfId="0" applyNumberFormat="1" applyFont="1" applyFill="1" applyBorder="1" applyAlignment="1">
      <x:alignment horizontal="right" vertical="center"/>
    </x:xf>
    <x:xf numFmtId="0" fontId="0" fillId="11" borderId="18" xfId="0" applyNumberFormat="1" applyFont="1" applyFill="1" applyBorder="1" applyAlignment="1">
      <x:alignment horizontal="center" vertical="center"/>
    </x:xf>
    <x:xf numFmtId="0" fontId="5" fillId="11" borderId="19" xfId="0" applyNumberFormat="1" applyFont="1" applyFill="1" applyBorder="1" applyAlignment="1">
      <x:alignment horizontal="right" vertical="center"/>
    </x:xf>
    <x:xf numFmtId="0" fontId="5" fillId="11" borderId="20" xfId="0" applyNumberFormat="1" applyFont="1" applyFill="1" applyBorder="1" applyAlignment="1">
      <x:alignment horizontal="right" vertical="center"/>
    </x:xf>
    <x:xf numFmtId="0" fontId="5" fillId="5" borderId="1" xfId="0" applyNumberFormat="1" applyFont="1" applyFill="1" applyBorder="1" applyAlignment="1">
      <x:alignment horizontal="center" vertical="center"/>
    </x:xf>
    <x:xf numFmtId="0" fontId="5" fillId="5" borderId="1" xfId="0" applyNumberFormat="1" applyFont="1" applyFill="1" applyBorder="1" applyAlignment="1">
      <x:alignment horizontal="right" vertical="center"/>
    </x:xf>
    <x:xf numFmtId="0" fontId="6" fillId="6" borderId="1" xfId="0" applyNumberFormat="1" applyFont="1" applyFill="1" applyBorder="1" applyAlignment="1">
      <x:alignment horizontal="center" vertical="center" wrapText="1"/>
    </x:xf>
    <x:xf numFmtId="0" fontId="7" fillId="0" borderId="1" xfId="0" applyNumberFormat="1" applyFont="1" applyFill="1" applyBorder="1" applyAlignment="1">
      <x:alignment vertical="center" wrapText="1"/>
    </x:xf>
    <x:xf numFmtId="201" fontId="0" fillId="13" borderId="1" xfId="0" applyNumberFormat="1" applyFont="1" applyFill="1" applyBorder="1" applyAlignment="1">
      <x:alignment horizontal="right" vertical="center"/>
    </x:xf>
    <x:xf numFmtId="201" fontId="0" fillId="0" borderId="1" xfId="0" applyNumberFormat="1" applyFont="1" applyFill="1" applyBorder="1" applyAlignment="1">
      <x:alignment horizontal="right" vertical="center"/>
    </x:xf>
    <x:xf numFmtId="0" fontId="6" fillId="11" borderId="21" xfId="0" applyNumberFormat="1" applyFont="1" applyFill="1" applyBorder="1" applyAlignment="1">
      <x:alignment horizontal="center" vertical="center" wrapText="1"/>
    </x:xf>
    <x:xf numFmtId="0" fontId="5" fillId="11" borderId="22" xfId="0" applyNumberFormat="1" applyFont="1" applyFill="1" applyBorder="1" applyAlignment="1">
      <x:alignment vertical="center" wrapText="1"/>
    </x:xf>
    <x:xf numFmtId="201" fontId="5" fillId="11" borderId="22" xfId="0" applyNumberFormat="1" applyFont="1" applyFill="1" applyBorder="1" applyAlignment="1">
      <x:alignment horizontal="right" vertical="center"/>
    </x:xf>
    <x:xf numFmtId="201" fontId="5" fillId="11" borderId="23" xfId="0" applyNumberFormat="1" applyFont="1" applyFill="1" applyBorder="1" applyAlignment="1">
      <x:alignment horizontal="right" vertical="center"/>
    </x:xf>
    <x:xf numFmtId="0" fontId="6" fillId="8" borderId="1" xfId="0" applyNumberFormat="1" applyFont="1" applyFill="1" applyBorder="1" applyAlignment="1">
      <x:alignment horizontal="center" vertical="center" wrapText="1"/>
    </x:xf>
    <x:xf numFmtId="0" fontId="6" fillId="9" borderId="1" xfId="0" applyNumberFormat="1" applyFont="1" applyFill="1" applyBorder="1" applyAlignment="1">
      <x:alignment horizontal="center" vertical="center" wrapText="1"/>
    </x:xf>
    <x:xf numFmtId="0" fontId="6" fillId="10" borderId="1" xfId="0" applyNumberFormat="1" applyFont="1" applyFill="1" applyBorder="1" applyAlignment="1">
      <x:alignment horizontal="center" vertical="center" wrapText="1"/>
    </x:xf>
    <x:xf numFmtId="201" fontId="0" fillId="7" borderId="1" xfId="0" applyNumberFormat="1" applyFont="1" applyFill="1" applyBorder="1" applyAlignment="1">
      <x:alignment horizontal="right" vertical="center"/>
    </x:xf>
    <x:xf numFmtId="0" fontId="0" fillId="12" borderId="1" xfId="0" applyNumberFormat="1" applyFont="1" applyFill="1" applyBorder="1" applyAlignment="1">
      <x:alignment horizontal="center" vertical="center"/>
    </x:xf>
    <x:xf numFmtId="0" fontId="5" fillId="12" borderId="1" xfId="0" applyNumberFormat="1" applyFont="1" applyFill="1" applyBorder="1" applyAlignment="1">
      <x:alignment vertical="center" wrapText="1"/>
    </x:xf>
    <x:xf numFmtId="0" fontId="5" fillId="13" borderId="1" xfId="0" applyNumberFormat="1" applyFont="1" applyFill="1" applyBorder="1" applyAlignment="1">
      <x:alignment horizontal="right" vertical="center"/>
    </x:xf>
    <x:xf numFmtId="0" fontId="5" fillId="12" borderId="1" xfId="0" applyNumberFormat="1" applyFont="1" applyFill="1" applyBorder="1" applyAlignment="1">
      <x:alignment horizontal="right" vertical="center"/>
    </x:xf>
    <x:xf numFmtId="0" fontId="0" fillId="11" borderId="21" xfId="0" applyNumberFormat="1" applyFont="1" applyFill="1" applyBorder="1" applyAlignment="1">
      <x:alignment horizontal="center" vertical="center"/>
    </x:xf>
    <x:xf numFmtId="0" fontId="5" fillId="11" borderId="22" xfId="0" applyNumberFormat="1" applyFont="1" applyFill="1" applyBorder="1" applyAlignment="1">
      <x:alignment horizontal="right" vertical="center"/>
    </x:xf>
    <x:xf numFmtId="0" fontId="5" fillId="11" borderId="23" xfId="0" applyNumberFormat="1" applyFont="1" applyFill="1" applyBorder="1" applyAlignment="1">
      <x:alignment horizontal="right" vertical="center"/>
    </x:xf>
    <x:xf numFmtId="0" fontId="5" fillId="5" borderId="24" xfId="0" applyNumberFormat="1" applyFont="1" applyFill="1" applyBorder="1" applyAlignment="1">
      <x:alignment horizontal="center" vertical="center"/>
    </x:xf>
    <x:xf numFmtId="0" fontId="5" fillId="5" borderId="25" xfId="0" applyNumberFormat="1" applyFont="1" applyFill="1" applyBorder="1" applyAlignment="1">
      <x:alignment horizontal="center" vertical="center"/>
    </x:xf>
    <x:xf numFmtId="0" fontId="5" fillId="5" borderId="25" xfId="0" applyNumberFormat="1" applyFont="1" applyFill="1" applyBorder="1" applyAlignment="1">
      <x:alignment horizontal="right" vertical="center"/>
    </x:xf>
    <x:xf numFmtId="0" fontId="5" fillId="5" borderId="26" xfId="0" applyNumberFormat="1" applyFont="1" applyFill="1" applyBorder="1" applyAlignment="1">
      <x:alignment horizontal="right" vertical="center"/>
    </x:xf>
    <x:xf numFmtId="0" fontId="6" fillId="6" borderId="27" xfId="0" applyNumberFormat="1" applyFont="1" applyFill="1" applyBorder="1" applyAlignment="1">
      <x:alignment horizontal="center" vertical="center" wrapText="1"/>
    </x:xf>
    <x:xf numFmtId="201" fontId="0" fillId="0" borderId="28" xfId="0" applyNumberFormat="1" applyFont="1" applyFill="1" applyBorder="1" applyAlignment="1">
      <x:alignment horizontal="right" vertical="center"/>
    </x:xf>
    <x:xf numFmtId="0" fontId="6" fillId="11" borderId="29" xfId="0" applyNumberFormat="1" applyFont="1" applyFill="1" applyBorder="1" applyAlignment="1">
      <x:alignment horizontal="center" vertical="center" wrapText="1"/>
    </x:xf>
    <x:xf numFmtId="201" fontId="5" fillId="11" borderId="30" xfId="0" applyNumberFormat="1" applyFont="1" applyFill="1" applyBorder="1" applyAlignment="1">
      <x:alignment horizontal="right" vertical="center"/>
    </x:xf>
    <x:xf numFmtId="0" fontId="6" fillId="8" borderId="27" xfId="0" applyNumberFormat="1" applyFont="1" applyFill="1" applyBorder="1" applyAlignment="1">
      <x:alignment horizontal="center" vertical="center" wrapText="1"/>
    </x:xf>
    <x:xf numFmtId="0" fontId="6" fillId="9" borderId="27" xfId="0" applyNumberFormat="1" applyFont="1" applyFill="1" applyBorder="1" applyAlignment="1">
      <x:alignment horizontal="center" vertical="center" wrapText="1"/>
    </x:xf>
    <x:xf numFmtId="0" fontId="6" fillId="10" borderId="27" xfId="0" applyNumberFormat="1" applyFont="1" applyFill="1" applyBorder="1" applyAlignment="1">
      <x:alignment horizontal="center" vertical="center" wrapText="1"/>
    </x:xf>
    <x:xf numFmtId="0" fontId="0" fillId="12" borderId="27" xfId="0" applyNumberFormat="1" applyFont="1" applyFill="1" applyBorder="1" applyAlignment="1">
      <x:alignment horizontal="center" vertical="center"/>
    </x:xf>
    <x:xf numFmtId="0" fontId="5" fillId="12" borderId="28" xfId="0" applyNumberFormat="1" applyFont="1" applyFill="1" applyBorder="1" applyAlignment="1">
      <x:alignment horizontal="right" vertical="center"/>
    </x:xf>
    <x:xf numFmtId="0" fontId="0" fillId="11" borderId="31" xfId="0" applyNumberFormat="1" applyFont="1" applyFill="1" applyBorder="1" applyAlignment="1">
      <x:alignment horizontal="center" vertical="center"/>
    </x:xf>
    <x:xf numFmtId="0" fontId="5" fillId="11" borderId="32" xfId="0" applyNumberFormat="1" applyFont="1" applyFill="1" applyBorder="1" applyAlignment="1">
      <x:alignment vertical="center" wrapText="1"/>
    </x:xf>
    <x:xf numFmtId="0" fontId="5" fillId="11" borderId="32" xfId="0" applyNumberFormat="1" applyFont="1" applyFill="1" applyBorder="1" applyAlignment="1">
      <x:alignment horizontal="right" vertical="center"/>
    </x:xf>
    <x:xf numFmtId="0" fontId="5" fillId="11" borderId="33" xfId="0" applyNumberFormat="1" applyFont="1" applyFill="1" applyBorder="1" applyAlignment="1">
      <x:alignment horizontal="right" vertical="center"/>
    </x:xf>
    <x:xf numFmtId="0" fontId="5" fillId="5" borderId="34" xfId="0" applyNumberFormat="1" applyFont="1" applyFill="1" applyBorder="1" applyAlignment="1">
      <x:alignment horizontal="center" vertical="center"/>
    </x:xf>
    <x:xf numFmtId="0" fontId="5" fillId="5" borderId="35" xfId="0" applyNumberFormat="1" applyFont="1" applyFill="1" applyBorder="1" applyAlignment="1">
      <x:alignment horizontal="center" vertical="center"/>
    </x:xf>
    <x:xf numFmtId="0" fontId="5" fillId="5" borderId="35" xfId="0" applyNumberFormat="1" applyFont="1" applyFill="1" applyBorder="1" applyAlignment="1">
      <x:alignment horizontal="right" vertical="center"/>
    </x:xf>
    <x:xf numFmtId="0" fontId="5" fillId="5" borderId="36" xfId="0" applyNumberFormat="1" applyFont="1" applyFill="1" applyBorder="1" applyAlignment="1">
      <x:alignment horizontal="right" vertical="center"/>
    </x:xf>
    <x:xf numFmtId="0" fontId="6" fillId="6" borderId="37" xfId="0" applyNumberFormat="1" applyFont="1" applyFill="1" applyBorder="1" applyAlignment="1">
      <x:alignment horizontal="center" vertical="center" wrapText="1"/>
    </x:xf>
    <x:xf numFmtId="201" fontId="0" fillId="0" borderId="38" xfId="0" applyNumberFormat="1" applyFont="1" applyFill="1" applyBorder="1" applyAlignment="1">
      <x:alignment horizontal="right" vertical="center"/>
    </x:xf>
    <x:xf numFmtId="0" fontId="6" fillId="11" borderId="39" xfId="0" applyNumberFormat="1" applyFont="1" applyFill="1" applyBorder="1" applyAlignment="1">
      <x:alignment horizontal="center" vertical="center" wrapText="1"/>
    </x:xf>
    <x:xf numFmtId="201" fontId="5" fillId="11" borderId="40" xfId="0" applyNumberFormat="1" applyFont="1" applyFill="1" applyBorder="1" applyAlignment="1">
      <x:alignment horizontal="right" vertical="center"/>
    </x:xf>
    <x:xf numFmtId="0" fontId="6" fillId="8" borderId="37" xfId="0" applyNumberFormat="1" applyFont="1" applyFill="1" applyBorder="1" applyAlignment="1">
      <x:alignment horizontal="center" vertical="center" wrapText="1"/>
    </x:xf>
    <x:xf numFmtId="0" fontId="6" fillId="9" borderId="37" xfId="0" applyNumberFormat="1" applyFont="1" applyFill="1" applyBorder="1" applyAlignment="1">
      <x:alignment horizontal="center" vertical="center" wrapText="1"/>
    </x:xf>
    <x:xf numFmtId="0" fontId="6" fillId="10" borderId="37" xfId="0" applyNumberFormat="1" applyFont="1" applyFill="1" applyBorder="1" applyAlignment="1">
      <x:alignment horizontal="center" vertical="center" wrapText="1"/>
    </x:xf>
    <x:xf numFmtId="0" fontId="0" fillId="12" borderId="37" xfId="0" applyNumberFormat="1" applyFont="1" applyFill="1" applyBorder="1" applyAlignment="1">
      <x:alignment horizontal="center" vertical="center"/>
    </x:xf>
    <x:xf numFmtId="0" fontId="5" fillId="12" borderId="38" xfId="0" applyNumberFormat="1" applyFont="1" applyFill="1" applyBorder="1" applyAlignment="1">
      <x:alignment horizontal="right" vertical="center"/>
    </x:xf>
    <x:xf numFmtId="0" fontId="0" fillId="11" borderId="41" xfId="0" applyNumberFormat="1" applyFont="1" applyFill="1" applyBorder="1" applyAlignment="1">
      <x:alignment horizontal="center" vertical="center"/>
    </x:xf>
    <x:xf numFmtId="0" fontId="5" fillId="11" borderId="42" xfId="0" applyNumberFormat="1" applyFont="1" applyFill="1" applyBorder="1" applyAlignment="1">
      <x:alignment vertical="center" wrapText="1"/>
    </x:xf>
    <x:xf numFmtId="0" fontId="5" fillId="11" borderId="42" xfId="0" applyNumberFormat="1" applyFont="1" applyFill="1" applyBorder="1" applyAlignment="1">
      <x:alignment horizontal="right" vertical="center"/>
    </x:xf>
    <x:xf numFmtId="0" fontId="5" fillId="11" borderId="43" xfId="0" applyNumberFormat="1" applyFont="1" applyFill="1" applyBorder="1" applyAlignment="1">
      <x:alignment horizontal="right" vertical="center"/>
    </x:xf>
    <x:xf numFmtId="0" fontId="6" fillId="11" borderId="27" xfId="0" applyNumberFormat="1" applyFont="1" applyFill="1" applyBorder="1" applyAlignment="1">
      <x:alignment horizontal="center" vertical="center" wrapText="1"/>
    </x:xf>
    <x:xf numFmtId="0" fontId="7" fillId="11" borderId="0" xfId="0" applyNumberFormat="1" applyFont="1" applyFill="1" applyBorder="1" applyAlignment="1">
      <x:alignment vertical="center" wrapText="1"/>
    </x:xf>
    <x:xf numFmtId="201" fontId="0" fillId="11" borderId="0" xfId="0" applyNumberFormat="1" applyFont="1" applyFill="1" applyBorder="1" applyAlignment="1">
      <x:alignment horizontal="right" vertical="center"/>
    </x:xf>
    <x:xf numFmtId="201" fontId="0" fillId="11" borderId="28" xfId="0" applyNumberFormat="1" applyFont="1" applyFill="1" applyBorder="1" applyAlignment="1">
      <x:alignment horizontal="right" vertical="center"/>
    </x:xf>
    <x:xf numFmtId="0" fontId="6" fillId="11" borderId="37" xfId="0" applyNumberFormat="1" applyFont="1" applyFill="1" applyBorder="1" applyAlignment="1">
      <x:alignment horizontal="center" vertical="center" wrapText="1"/>
    </x:xf>
    <x:xf numFmtId="0" fontId="7" fillId="11" borderId="1" xfId="0" applyNumberFormat="1" applyFont="1" applyFill="1" applyBorder="1" applyAlignment="1">
      <x:alignment vertical="center" wrapText="1"/>
    </x:xf>
    <x:xf numFmtId="201" fontId="0" fillId="11" borderId="1" xfId="0" applyNumberFormat="1" applyFont="1" applyFill="1" applyBorder="1" applyAlignment="1">
      <x:alignment horizontal="right" vertical="center"/>
    </x:xf>
    <x:xf numFmtId="201" fontId="0" fillId="11" borderId="38" xfId="0" applyNumberFormat="1" applyFont="1" applyFill="1" applyBorder="1" applyAlignment="1">
      <x:alignment horizontal="right" vertical="center"/>
    </x:xf>
    <x:xf numFmtId="0" fontId="5" fillId="11" borderId="0" xfId="0" applyNumberFormat="1" applyFont="1" applyFill="1" applyBorder="1" applyAlignment="1">
      <x:alignment vertical="center" wrapText="1"/>
    </x:xf>
    <x:xf numFmtId="201" fontId="5" fillId="11" borderId="0" xfId="0" applyNumberFormat="1" applyFont="1" applyFill="1" applyBorder="1" applyAlignment="1">
      <x:alignment horizontal="right" vertical="center"/>
    </x:xf>
    <x:xf numFmtId="201" fontId="5" fillId="11" borderId="28" xfId="0" applyNumberFormat="1" applyFont="1" applyFill="1" applyBorder="1" applyAlignment="1">
      <x:alignment horizontal="right" vertical="center"/>
    </x:xf>
    <x:xf numFmtId="0" fontId="5" fillId="11" borderId="1" xfId="0" applyNumberFormat="1" applyFont="1" applyFill="1" applyBorder="1" applyAlignment="1">
      <x:alignment vertical="center" wrapText="1"/>
    </x:xf>
    <x:xf numFmtId="201" fontId="5" fillId="11" borderId="1" xfId="0" applyNumberFormat="1" applyFont="1" applyFill="1" applyBorder="1" applyAlignment="1">
      <x:alignment horizontal="right" vertical="center"/>
    </x:xf>
    <x:xf numFmtId="201" fontId="5" fillId="11" borderId="38" xfId="0" applyNumberFormat="1" applyFont="1" applyFill="1" applyBorder="1" applyAlignment="1">
      <x:alignment horizontal="right" vertical="center"/>
    </x:xf>
    <x:xf numFmtId="0" fontId="6" fillId="12" borderId="27" xfId="0" applyNumberFormat="1" applyFont="1" applyFill="1" applyBorder="1" applyAlignment="1">
      <x:alignment horizontal="center" vertical="center" wrapText="1"/>
    </x:xf>
    <x:xf numFmtId="0" fontId="7" fillId="12" borderId="0" xfId="0" applyNumberFormat="1" applyFont="1" applyFill="1" applyBorder="1" applyAlignment="1">
      <x:alignment vertical="center" wrapText="1"/>
    </x:xf>
    <x:xf numFmtId="201" fontId="0" fillId="12" borderId="0" xfId="0" applyNumberFormat="1" applyFont="1" applyFill="1" applyBorder="1" applyAlignment="1">
      <x:alignment horizontal="right" vertical="center"/>
    </x:xf>
    <x:xf numFmtId="201" fontId="0" fillId="12" borderId="28" xfId="0" applyNumberFormat="1" applyFont="1" applyFill="1" applyBorder="1" applyAlignment="1">
      <x:alignment horizontal="right" vertical="center"/>
    </x:xf>
    <x:xf numFmtId="0" fontId="6" fillId="12" borderId="37" xfId="0" applyNumberFormat="1" applyFont="1" applyFill="1" applyBorder="1" applyAlignment="1">
      <x:alignment horizontal="center" vertical="center" wrapText="1"/>
    </x:xf>
    <x:xf numFmtId="0" fontId="7" fillId="12" borderId="1" xfId="0" applyNumberFormat="1" applyFont="1" applyFill="1" applyBorder="1" applyAlignment="1">
      <x:alignment vertical="center" wrapText="1"/>
    </x:xf>
    <x:xf numFmtId="201" fontId="0" fillId="12" borderId="1" xfId="0" applyNumberFormat="1" applyFont="1" applyFill="1" applyBorder="1" applyAlignment="1">
      <x:alignment horizontal="right" vertical="center"/>
    </x:xf>
    <x:xf numFmtId="201" fontId="0" fillId="12" borderId="38" xfId="0" applyNumberFormat="1" applyFont="1" applyFill="1" applyBorder="1" applyAlignment="1">
      <x:alignment horizontal="right" vertical="center"/>
    </x:xf>
    <x:xf numFmtId="201" fontId="5" fillId="12" borderId="0" xfId="0" applyNumberFormat="1" applyFont="1" applyFill="1" applyBorder="1" applyAlignment="1">
      <x:alignment horizontal="right" vertical="center"/>
    </x:xf>
    <x:xf numFmtId="201" fontId="5" fillId="12" borderId="28" xfId="0" applyNumberFormat="1" applyFont="1" applyFill="1" applyBorder="1" applyAlignment="1">
      <x:alignment horizontal="right" vertical="center"/>
    </x:xf>
  </x:cellXfs>
  <x:cellStyles count="1">
    <x:cellStyle name="Normal" xfId="0"/>
  </x:cellStyles>
  <x:dxfs count="4">
    <x:dxf>
      <x:font>
        <x:b/>
        <x:color rgb="A61B1B"/>
      </x:font>
      <x:fill>
        <x:patternFill patternType="solid">
          <x:bgColor rgb="FCE8E6"/>
        </x:patternFill>
      </x:fill>
    </x:dxf>
    <x:dxf>
      <x:font>
        <x:color rgb="A61B1B"/>
      </x:font>
    </x:dxf>
    <x:dxf>
      <x:font>
        <x:b/>
        <x:color rgb="A61B1B"/>
      </x:font>
      <x:fill>
        <x:patternFill patternType="solid">
          <x:bgColor rgb="FDECEC"/>
        </x:patternFill>
      </x:fill>
    </x:dxf>
    <x:dxf>
      <x:font>
        <x:b/>
        <x:color rgb="A61B1B"/>
      </x:font>
      <x:fill>
        <x:patternFill patternType="solid">
          <x:bgColor rgb="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a4c1fb6af349d6" /><Relationship Type="http://schemas.openxmlformats.org/officeDocument/2006/relationships/theme" Target="/xl/theme/theme1.xml" Id="R71d847fda7e54561" /><Relationship Type="http://schemas.openxmlformats.org/officeDocument/2006/relationships/sharedStrings" Target="/xl/sharedStrings.xml" Id="Rb8a5d72cf6d14ab7" /><Relationship Type="http://schemas.openxmlformats.org/officeDocument/2006/relationships/worksheet" Target="/xl/worksheets/sheet1.xml" Id="Rd16f1354fe024a2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21" hidden="0" customWidth="1"/>
    <x:col min="3" max="3" width="34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3" hidden="0" customWidth="1"/>
  </x:cols>
  <x:sheetData>
    <x:row r="2" ht="28" customHeight="1">
      <x:c r="B2" s="8" t="str">
        <x:v>CASH FLOW STATEMENT</x:v>
      </x:c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</x:row>
    <x:row r="3" ht="20" customHeight="1">
      <x:c r="B3" s="14" t="str">
        <x:v>Single-sheet treasury model • editable rows are softly highlighted • totals calculate automatically</x:v>
      </x:c>
      <x:c r="C3" s="14"/>
      <x:c r="D3" s="14"/>
      <x:c r="E3" s="14"/>
      <x:c r="F3" s="14"/>
      <x:c r="G3" s="14"/>
      <x:c r="H3" s="14"/>
      <x:c r="I3" s="14"/>
      <x:c r="J3" s="14"/>
      <x:c r="K3" s="14"/>
      <x:c r="L3" s="14"/>
      <x:c r="M3" s="14"/>
      <x:c r="N3" s="14"/>
      <x:c r="O3" s="14"/>
      <x:c r="P3" s="14"/>
    </x:row>
    <x:row r="5">
      <x:c r="B5" s="88" t="n">
        <x:f>D31</x:f>
        <x:v>180000</x:v>
      </x:c>
      <x:c r="C5" s="89"/>
      <x:c r="D5" s="89"/>
      <x:c r="E5" s="90"/>
      <x:c r="F5" s="88" t="n">
        <x:f>SUM(D30:O30)</x:f>
        <x:v>421200</x:v>
      </x:c>
      <x:c r="G5" s="89"/>
      <x:c r="H5" s="89"/>
      <x:c r="I5" s="90"/>
      <x:c r="J5" s="88" t="n">
        <x:f>P32</x:f>
        <x:v>601200</x:v>
      </x:c>
      <x:c r="K5" s="89"/>
      <x:c r="L5" s="89"/>
      <x:c r="M5" s="90"/>
      <x:c r="N5" s="88" t="str">
        <x:f>IF(MIN(D32:O32)&lt;0,"Alert","Stable")</x:f>
        <x:v>Stable</x:v>
      </x:c>
      <x:c r="O5" s="89"/>
      <x:c r="P5" s="90"/>
    </x:row>
    <x:row r="6">
      <x:c r="B6" s="94" t="n">
        <x:f>D31</x:f>
        <x:v>180000</x:v>
      </x:c>
      <x:c r="C6" s="74"/>
      <x:c r="D6" s="74"/>
      <x:c r="E6" s="75"/>
      <x:c r="F6" s="94" t="n">
        <x:f>SUM(D30:O30)</x:f>
        <x:v>421200</x:v>
      </x:c>
      <x:c r="G6" s="74"/>
      <x:c r="H6" s="74"/>
      <x:c r="I6" s="75"/>
      <x:c r="J6" s="94" t="n">
        <x:f>P32</x:f>
        <x:v>601200</x:v>
      </x:c>
      <x:c r="K6" s="74"/>
      <x:c r="L6" s="74"/>
      <x:c r="M6" s="75"/>
      <x:c r="N6" s="73" t="str">
        <x:f>IF(MIN(D32:O32)&lt;0,"Alert","Stable")</x:f>
        <x:v>Stable</x:v>
      </x:c>
      <x:c r="O6" s="74"/>
      <x:c r="P6" s="75"/>
    </x:row>
    <x:row r="7">
      <x:c r="B7" s="76"/>
      <x:c r="C7" s="77"/>
      <x:c r="D7" s="77"/>
      <x:c r="E7" s="78"/>
      <x:c r="F7" s="76"/>
      <x:c r="G7" s="77"/>
      <x:c r="H7" s="77"/>
      <x:c r="I7" s="78"/>
      <x:c r="J7" s="76"/>
      <x:c r="K7" s="77"/>
      <x:c r="L7" s="77"/>
      <x:c r="M7" s="78"/>
      <x:c r="N7" s="76"/>
      <x:c r="O7" s="77"/>
      <x:c r="P7" s="78"/>
    </x:row>
    <x:row r="9" ht="20" customHeight="1">
      <x:c r="B9" s="249" t="str">
        <x:v>Section</x:v>
      </x:c>
      <x:c r="C9" s="250" t="str">
        <x:v>Line Item</x:v>
      </x:c>
      <x:c r="D9" s="251" t="str">
        <x:v>Jan</x:v>
      </x:c>
      <x:c r="E9" s="251" t="str">
        <x:v>Feb</x:v>
      </x:c>
      <x:c r="F9" s="251" t="str">
        <x:v>Mar</x:v>
      </x:c>
      <x:c r="G9" s="251" t="str">
        <x:v>Apr</x:v>
      </x:c>
      <x:c r="H9" s="251" t="str">
        <x:v>May</x:v>
      </x:c>
      <x:c r="I9" s="251" t="str">
        <x:v>Jun</x:v>
      </x:c>
      <x:c r="J9" s="251" t="str">
        <x:v>Jul</x:v>
      </x:c>
      <x:c r="K9" s="251" t="str">
        <x:v>Aug</x:v>
      </x:c>
      <x:c r="L9" s="251" t="str">
        <x:v>Sep</x:v>
      </x:c>
      <x:c r="M9" s="251" t="str">
        <x:v>Oct</x:v>
      </x:c>
      <x:c r="N9" s="251" t="str">
        <x:v>Nov</x:v>
      </x:c>
      <x:c r="O9" s="251" t="str">
        <x:v>Dec</x:v>
      </x:c>
      <x:c r="P9" s="252" t="str">
        <x:v>Total</x:v>
      </x:c>
    </x:row>
    <x:row r="10" ht="20" customHeight="1">
      <x:c r="B10" s="253" t="str">
        <x:v>OPERATING CASH FLOW</x:v>
      </x:c>
      <x:c r="C10" s="210" t="str">
        <x:v>Cash receipts from customers</x:v>
      </x:c>
      <x:c r="D10" s="211" t="n">
        <x:v>220000</x:v>
      </x:c>
      <x:c r="E10" s="211" t="n">
        <x:v>235000</x:v>
      </x:c>
      <x:c r="F10" s="211" t="n">
        <x:v>240000</x:v>
      </x:c>
      <x:c r="G10" s="211" t="n">
        <x:v>255000</x:v>
      </x:c>
      <x:c r="H10" s="211" t="n">
        <x:v>265000</x:v>
      </x:c>
      <x:c r="I10" s="211" t="n">
        <x:v>275000</x:v>
      </x:c>
      <x:c r="J10" s="211" t="n">
        <x:v>280000</x:v>
      </x:c>
      <x:c r="K10" s="211" t="n">
        <x:v>290000</x:v>
      </x:c>
      <x:c r="L10" s="211" t="n">
        <x:v>300000</x:v>
      </x:c>
      <x:c r="M10" s="211" t="n">
        <x:v>310000</x:v>
      </x:c>
      <x:c r="N10" s="211" t="n">
        <x:v>320000</x:v>
      </x:c>
      <x:c r="O10" s="211" t="n">
        <x:v>335000</x:v>
      </x:c>
      <x:c r="P10" s="254" t="n">
        <x:f>SUM(D10:O10)</x:f>
        <x:v>3325000</x:v>
      </x:c>
    </x:row>
    <x:row r="11" ht="20" customHeight="1">
      <x:c r="B11" s="253" t="str">
        <x:v>OPERATING CASH FLOW</x:v>
      </x:c>
      <x:c r="C11" s="210" t="str">
        <x:v>Refunds / other operating inflows</x:v>
      </x:c>
      <x:c r="D11" s="211" t="n">
        <x:v>4000</x:v>
      </x:c>
      <x:c r="E11" s="211" t="n">
        <x:v>3500</x:v>
      </x:c>
      <x:c r="F11" s="211" t="n">
        <x:v>4500</x:v>
      </x:c>
      <x:c r="G11" s="211" t="n">
        <x:v>3000</x:v>
      </x:c>
      <x:c r="H11" s="211" t="n">
        <x:v>4800</x:v>
      </x:c>
      <x:c r="I11" s="211" t="n">
        <x:v>4000</x:v>
      </x:c>
      <x:c r="J11" s="211" t="n">
        <x:v>5200</x:v>
      </x:c>
      <x:c r="K11" s="211" t="n">
        <x:v>4500</x:v>
      </x:c>
      <x:c r="L11" s="211" t="n">
        <x:v>4000</x:v>
      </x:c>
      <x:c r="M11" s="211" t="n">
        <x:v>5000</x:v>
      </x:c>
      <x:c r="N11" s="211" t="n">
        <x:v>5200</x:v>
      </x:c>
      <x:c r="O11" s="211" t="n">
        <x:v>6000</x:v>
      </x:c>
      <x:c r="P11" s="254" t="n">
        <x:f>SUM(D11:O11)</x:f>
        <x:v>53700</x:v>
      </x:c>
    </x:row>
    <x:row r="12" ht="20" customHeight="1">
      <x:c r="B12" s="253" t="str">
        <x:v>OPERATING CASH FLOW</x:v>
      </x:c>
      <x:c r="C12" s="210" t="str">
        <x:v>Payments to suppliers</x:v>
      </x:c>
      <x:c r="D12" s="211" t="n">
        <x:v>-110000</x:v>
      </x:c>
      <x:c r="E12" s="211" t="n">
        <x:v>-118000</x:v>
      </x:c>
      <x:c r="F12" s="211" t="n">
        <x:v>-120000</x:v>
      </x:c>
      <x:c r="G12" s="211" t="n">
        <x:v>-126000</x:v>
      </x:c>
      <x:c r="H12" s="211" t="n">
        <x:v>-130000</x:v>
      </x:c>
      <x:c r="I12" s="211" t="n">
        <x:v>-134000</x:v>
      </x:c>
      <x:c r="J12" s="211" t="n">
        <x:v>-137000</x:v>
      </x:c>
      <x:c r="K12" s="211" t="n">
        <x:v>-141000</x:v>
      </x:c>
      <x:c r="L12" s="211" t="n">
        <x:v>-145000</x:v>
      </x:c>
      <x:c r="M12" s="211" t="n">
        <x:v>-149000</x:v>
      </x:c>
      <x:c r="N12" s="211" t="n">
        <x:v>-152000</x:v>
      </x:c>
      <x:c r="O12" s="211" t="n">
        <x:v>-158000</x:v>
      </x:c>
      <x:c r="P12" s="254" t="n">
        <x:f>SUM(D12:O12)</x:f>
        <x:v>-1620000</x:v>
      </x:c>
    </x:row>
    <x:row r="13" ht="20" customHeight="1">
      <x:c r="B13" s="253" t="str">
        <x:v>OPERATING CASH FLOW</x:v>
      </x:c>
      <x:c r="C13" s="210" t="str">
        <x:v>Payroll and benefits</x:v>
      </x:c>
      <x:c r="D13" s="211" t="n">
        <x:v>-52000</x:v>
      </x:c>
      <x:c r="E13" s="211" t="n">
        <x:v>-52000</x:v>
      </x:c>
      <x:c r="F13" s="211" t="n">
        <x:v>-53000</x:v>
      </x:c>
      <x:c r="G13" s="211" t="n">
        <x:v>-53000</x:v>
      </x:c>
      <x:c r="H13" s="211" t="n">
        <x:v>-54000</x:v>
      </x:c>
      <x:c r="I13" s="211" t="n">
        <x:v>-54000</x:v>
      </x:c>
      <x:c r="J13" s="211" t="n">
        <x:v>-55000</x:v>
      </x:c>
      <x:c r="K13" s="211" t="n">
        <x:v>-55000</x:v>
      </x:c>
      <x:c r="L13" s="211" t="n">
        <x:v>-56000</x:v>
      </x:c>
      <x:c r="M13" s="211" t="n">
        <x:v>-56000</x:v>
      </x:c>
      <x:c r="N13" s="211" t="n">
        <x:v>-57000</x:v>
      </x:c>
      <x:c r="O13" s="211" t="n">
        <x:v>-58000</x:v>
      </x:c>
      <x:c r="P13" s="254" t="n">
        <x:f>SUM(D13:O13)</x:f>
        <x:v>-655000</x:v>
      </x:c>
    </x:row>
    <x:row r="14" ht="20" customHeight="1">
      <x:c r="B14" s="253" t="str">
        <x:v>OPERATING CASH FLOW</x:v>
      </x:c>
      <x:c r="C14" s="210" t="str">
        <x:v>Rent and facilities</x:v>
      </x:c>
      <x:c r="D14" s="211" t="n">
        <x:v>-9500</x:v>
      </x:c>
      <x:c r="E14" s="211" t="n">
        <x:v>-9500</x:v>
      </x:c>
      <x:c r="F14" s="211" t="n">
        <x:v>-9500</x:v>
      </x:c>
      <x:c r="G14" s="211" t="n">
        <x:v>-9500</x:v>
      </x:c>
      <x:c r="H14" s="211" t="n">
        <x:v>-9800</x:v>
      </x:c>
      <x:c r="I14" s="211" t="n">
        <x:v>-9800</x:v>
      </x:c>
      <x:c r="J14" s="211" t="n">
        <x:v>-9800</x:v>
      </x:c>
      <x:c r="K14" s="211" t="n">
        <x:v>-9800</x:v>
      </x:c>
      <x:c r="L14" s="211" t="n">
        <x:v>-10200</x:v>
      </x:c>
      <x:c r="M14" s="211" t="n">
        <x:v>-10200</x:v>
      </x:c>
      <x:c r="N14" s="211" t="n">
        <x:v>-10200</x:v>
      </x:c>
      <x:c r="O14" s="211" t="n">
        <x:v>-10200</x:v>
      </x:c>
      <x:c r="P14" s="254" t="n">
        <x:f>SUM(D14:O14)</x:f>
        <x:v>-118000</x:v>
      </x:c>
    </x:row>
    <x:row r="15" ht="20" customHeight="1">
      <x:c r="B15" s="253" t="str">
        <x:v>OPERATING CASH FLOW</x:v>
      </x:c>
      <x:c r="C15" s="210" t="str">
        <x:v>Sales &amp; marketing</x:v>
      </x:c>
      <x:c r="D15" s="211" t="n">
        <x:v>-12000</x:v>
      </x:c>
      <x:c r="E15" s="211" t="n">
        <x:v>-13500</x:v>
      </x:c>
      <x:c r="F15" s="211" t="n">
        <x:v>-15000</x:v>
      </x:c>
      <x:c r="G15" s="211" t="n">
        <x:v>-14000</x:v>
      </x:c>
      <x:c r="H15" s="211" t="n">
        <x:v>-14500</x:v>
      </x:c>
      <x:c r="I15" s="211" t="n">
        <x:v>-15000</x:v>
      </x:c>
      <x:c r="J15" s="211" t="n">
        <x:v>-15500</x:v>
      </x:c>
      <x:c r="K15" s="211" t="n">
        <x:v>-16000</x:v>
      </x:c>
      <x:c r="L15" s="211" t="n">
        <x:v>-16500</x:v>
      </x:c>
      <x:c r="M15" s="211" t="n">
        <x:v>-17000</x:v>
      </x:c>
      <x:c r="N15" s="211" t="n">
        <x:v>-17500</x:v>
      </x:c>
      <x:c r="O15" s="211" t="n">
        <x:v>-18500</x:v>
      </x:c>
      <x:c r="P15" s="254" t="n">
        <x:f>SUM(D15:O15)</x:f>
        <x:v>-185000</x:v>
      </x:c>
    </x:row>
    <x:row r="16" ht="20" customHeight="1">
      <x:c r="B16" s="253" t="str">
        <x:v>OPERATING CASH FLOW</x:v>
      </x:c>
      <x:c r="C16" s="210" t="str">
        <x:v>General &amp; admin</x:v>
      </x:c>
      <x:c r="D16" s="211" t="n">
        <x:v>-8000</x:v>
      </x:c>
      <x:c r="E16" s="211" t="n">
        <x:v>-8200</x:v>
      </x:c>
      <x:c r="F16" s="211" t="n">
        <x:v>-8300</x:v>
      </x:c>
      <x:c r="G16" s="211" t="n">
        <x:v>-8400</x:v>
      </x:c>
      <x:c r="H16" s="211" t="n">
        <x:v>-8600</x:v>
      </x:c>
      <x:c r="I16" s="211" t="n">
        <x:v>-8700</x:v>
      </x:c>
      <x:c r="J16" s="211" t="n">
        <x:v>-8800</x:v>
      </x:c>
      <x:c r="K16" s="211" t="n">
        <x:v>-9000</x:v>
      </x:c>
      <x:c r="L16" s="211" t="n">
        <x:v>-9100</x:v>
      </x:c>
      <x:c r="M16" s="211" t="n">
        <x:v>-9300</x:v>
      </x:c>
      <x:c r="N16" s="211" t="n">
        <x:v>-9400</x:v>
      </x:c>
      <x:c r="O16" s="211" t="n">
        <x:v>-9500</x:v>
      </x:c>
      <x:c r="P16" s="254" t="n">
        <x:f>SUM(D16:O16)</x:f>
        <x:v>-105300</x:v>
      </x:c>
    </x:row>
    <x:row r="17" ht="20" customHeight="1">
      <x:c r="B17" s="253" t="str">
        <x:v>OPERATING CASH FLOW</x:v>
      </x:c>
      <x:c r="C17" s="210" t="str">
        <x:v>Income taxes paid</x:v>
      </x:c>
      <x:c r="D17" s="211" t="n">
        <x:v>0</x:v>
      </x:c>
      <x:c r="E17" s="211" t="n">
        <x:v>0</x:v>
      </x:c>
      <x:c r="F17" s="211" t="n">
        <x:v>-12000</x:v>
      </x:c>
      <x:c r="G17" s="211" t="n">
        <x:v>0</x:v>
      </x:c>
      <x:c r="H17" s="211" t="n">
        <x:v>0</x:v>
      </x:c>
      <x:c r="I17" s="211" t="n">
        <x:v>-14000</x:v>
      </x:c>
      <x:c r="J17" s="211" t="n">
        <x:v>0</x:v>
      </x:c>
      <x:c r="K17" s="211" t="n">
        <x:v>0</x:v>
      </x:c>
      <x:c r="L17" s="211" t="n">
        <x:v>-16000</x:v>
      </x:c>
      <x:c r="M17" s="211" t="n">
        <x:v>0</x:v>
      </x:c>
      <x:c r="N17" s="211" t="n">
        <x:v>0</x:v>
      </x:c>
      <x:c r="O17" s="211" t="n">
        <x:v>-18000</x:v>
      </x:c>
      <x:c r="P17" s="254" t="n">
        <x:f>SUM(D17:O17)</x:f>
        <x:v>-60000</x:v>
      </x:c>
    </x:row>
    <x:row r="18" ht="20" customHeight="1">
      <x:c r="B18" s="213" t="str">
        <x:v>OPERATING CASH FLOW</x:v>
      </x:c>
      <x:c r="C18" s="214" t="str">
        <x:v>Net cash from operations</x:v>
      </x:c>
      <x:c r="D18" s="215" t="n">
        <x:f>SUM(D10:D17)</x:f>
        <x:v>32500</x:v>
      </x:c>
      <x:c r="E18" s="215" t="n">
        <x:f>SUM(E10:E17)</x:f>
        <x:v>37300</x:v>
      </x:c>
      <x:c r="F18" s="215" t="n">
        <x:f>SUM(F10:F17)</x:f>
        <x:v>26700</x:v>
      </x:c>
      <x:c r="G18" s="215" t="n">
        <x:f>SUM(G10:G17)</x:f>
        <x:v>47100</x:v>
      </x:c>
      <x:c r="H18" s="215" t="n">
        <x:f>SUM(H10:H17)</x:f>
        <x:v>52900</x:v>
      </x:c>
      <x:c r="I18" s="215" t="n">
        <x:f>SUM(I10:I17)</x:f>
        <x:v>43500</x:v>
      </x:c>
      <x:c r="J18" s="215" t="n">
        <x:f>SUM(J10:J17)</x:f>
        <x:v>59100</x:v>
      </x:c>
      <x:c r="K18" s="215" t="n">
        <x:f>SUM(K10:K17)</x:f>
        <x:v>63700</x:v>
      </x:c>
      <x:c r="L18" s="215" t="n">
        <x:f>SUM(L10:L17)</x:f>
        <x:v>51200</x:v>
      </x:c>
      <x:c r="M18" s="215" t="n">
        <x:f>SUM(M10:M17)</x:f>
        <x:v>73500</x:v>
      </x:c>
      <x:c r="N18" s="215" t="n">
        <x:f>SUM(N10:N17)</x:f>
        <x:v>79100</x:v>
      </x:c>
      <x:c r="O18" s="215" t="n">
        <x:f>SUM(O10:O17)</x:f>
        <x:v>68800</x:v>
      </x:c>
      <x:c r="P18" s="216" t="n">
        <x:f>SUM(D18:O18)</x:f>
        <x:v>635400</x:v>
      </x:c>
    </x:row>
    <x:row r="19" ht="20" customHeight="1">
      <x:c r="B19" s="257" t="str">
        <x:v>INVESTING CASH FLOW</x:v>
      </x:c>
      <x:c r="C19" s="210" t="str">
        <x:v>Capital expenditures</x:v>
      </x:c>
      <x:c r="D19" s="211" t="n">
        <x:v>-30000</x:v>
      </x:c>
      <x:c r="E19" s="211" t="n">
        <x:v>-18000</x:v>
      </x:c>
      <x:c r="F19" s="211" t="n">
        <x:v>-12000</x:v>
      </x:c>
      <x:c r="G19" s="211" t="n">
        <x:v>-40000</x:v>
      </x:c>
      <x:c r="H19" s="211" t="n">
        <x:v>-10000</x:v>
      </x:c>
      <x:c r="I19" s="211" t="n">
        <x:v>-15000</x:v>
      </x:c>
      <x:c r="J19" s="211" t="n">
        <x:v>-22000</x:v>
      </x:c>
      <x:c r="K19" s="211" t="n">
        <x:v>-12000</x:v>
      </x:c>
      <x:c r="L19" s="211" t="n">
        <x:v>-55000</x:v>
      </x:c>
      <x:c r="M19" s="211" t="n">
        <x:v>-9000</x:v>
      </x:c>
      <x:c r="N19" s="211" t="n">
        <x:v>-14000</x:v>
      </x:c>
      <x:c r="O19" s="211" t="n">
        <x:v>-28000</x:v>
      </x:c>
      <x:c r="P19" s="254" t="n">
        <x:f>SUM(D19:O19)</x:f>
        <x:v>-265000</x:v>
      </x:c>
    </x:row>
    <x:row r="20" ht="20" customHeight="1">
      <x:c r="B20" s="257" t="str">
        <x:v>INVESTING CASH FLOW</x:v>
      </x:c>
      <x:c r="C20" s="210" t="str">
        <x:v>Software development capitalization</x:v>
      </x:c>
      <x:c r="D20" s="211" t="n">
        <x:v>-8000</x:v>
      </x:c>
      <x:c r="E20" s="211" t="n">
        <x:v>-8000</x:v>
      </x:c>
      <x:c r="F20" s="211" t="n">
        <x:v>-8500</x:v>
      </x:c>
      <x:c r="G20" s="211" t="n">
        <x:v>-8500</x:v>
      </x:c>
      <x:c r="H20" s="211" t="n">
        <x:v>-9000</x:v>
      </x:c>
      <x:c r="I20" s="211" t="n">
        <x:v>-9000</x:v>
      </x:c>
      <x:c r="J20" s="211" t="n">
        <x:v>-9500</x:v>
      </x:c>
      <x:c r="K20" s="211" t="n">
        <x:v>-9500</x:v>
      </x:c>
      <x:c r="L20" s="211" t="n">
        <x:v>-10000</x:v>
      </x:c>
      <x:c r="M20" s="211" t="n">
        <x:v>-10000</x:v>
      </x:c>
      <x:c r="N20" s="211" t="n">
        <x:v>-10500</x:v>
      </x:c>
      <x:c r="O20" s="211" t="n">
        <x:v>-10500</x:v>
      </x:c>
      <x:c r="P20" s="254" t="n">
        <x:f>SUM(D20:O20)</x:f>
        <x:v>-111000</x:v>
      </x:c>
    </x:row>
    <x:row r="21" ht="20" customHeight="1">
      <x:c r="B21" s="257" t="str">
        <x:v>INVESTING CASH FLOW</x:v>
      </x:c>
      <x:c r="C21" s="210" t="str">
        <x:v>Asset sale proceeds</x:v>
      </x:c>
      <x:c r="D21" s="211" t="n">
        <x:v>0</x:v>
      </x:c>
      <x:c r="E21" s="211" t="n">
        <x:v>0</x:v>
      </x:c>
      <x:c r="F21" s="211" t="n">
        <x:v>0</x:v>
      </x:c>
      <x:c r="G21" s="211" t="n">
        <x:v>12000</x:v>
      </x:c>
      <x:c r="H21" s="211" t="n">
        <x:v>0</x:v>
      </x:c>
      <x:c r="I21" s="211" t="n">
        <x:v>0</x:v>
      </x:c>
      <x:c r="J21" s="211" t="n">
        <x:v>0</x:v>
      </x:c>
      <x:c r="K21" s="211" t="n">
        <x:v>15000</x:v>
      </x:c>
      <x:c r="L21" s="211" t="n">
        <x:v>0</x:v>
      </x:c>
      <x:c r="M21" s="211" t="n">
        <x:v>0</x:v>
      </x:c>
      <x:c r="N21" s="211" t="n">
        <x:v>0</x:v>
      </x:c>
      <x:c r="O21" s="211" t="n">
        <x:v>18000</x:v>
      </x:c>
      <x:c r="P21" s="254" t="n">
        <x:f>SUM(D21:O21)</x:f>
        <x:v>45000</x:v>
      </x:c>
    </x:row>
    <x:row r="22" ht="20" customHeight="1">
      <x:c r="B22" s="213" t="str">
        <x:v>INVESTING CASH FLOW</x:v>
      </x:c>
      <x:c r="C22" s="214" t="str">
        <x:v>Net cash from investing</x:v>
      </x:c>
      <x:c r="D22" s="215" t="n">
        <x:f>SUM(D19:D21)</x:f>
        <x:v>-38000</x:v>
      </x:c>
      <x:c r="E22" s="215" t="n">
        <x:f>SUM(E19:E21)</x:f>
        <x:v>-26000</x:v>
      </x:c>
      <x:c r="F22" s="215" t="n">
        <x:f>SUM(F19:F21)</x:f>
        <x:v>-20500</x:v>
      </x:c>
      <x:c r="G22" s="215" t="n">
        <x:f>SUM(G19:G21)</x:f>
        <x:v>-36500</x:v>
      </x:c>
      <x:c r="H22" s="215" t="n">
        <x:f>SUM(H19:H21)</x:f>
        <x:v>-19000</x:v>
      </x:c>
      <x:c r="I22" s="215" t="n">
        <x:f>SUM(I19:I21)</x:f>
        <x:v>-24000</x:v>
      </x:c>
      <x:c r="J22" s="215" t="n">
        <x:f>SUM(J19:J21)</x:f>
        <x:v>-31500</x:v>
      </x:c>
      <x:c r="K22" s="215" t="n">
        <x:f>SUM(K19:K21)</x:f>
        <x:v>-6500</x:v>
      </x:c>
      <x:c r="L22" s="215" t="n">
        <x:f>SUM(L19:L21)</x:f>
        <x:v>-65000</x:v>
      </x:c>
      <x:c r="M22" s="215" t="n">
        <x:f>SUM(M19:M21)</x:f>
        <x:v>-19000</x:v>
      </x:c>
      <x:c r="N22" s="215" t="n">
        <x:f>SUM(N19:N21)</x:f>
        <x:v>-24500</x:v>
      </x:c>
      <x:c r="O22" s="215" t="n">
        <x:f>SUM(O19:O21)</x:f>
        <x:v>-20500</x:v>
      </x:c>
      <x:c r="P22" s="216" t="n">
        <x:f>SUM(D22:O22)</x:f>
        <x:v>-331000</x:v>
      </x:c>
    </x:row>
    <x:row r="23" ht="20" customHeight="1">
      <x:c r="B23" s="258" t="str">
        <x:v>FINANCING CASH FLOW</x:v>
      </x:c>
      <x:c r="C23" s="210" t="str">
        <x:v>Debt drawdown</x:v>
      </x:c>
      <x:c r="D23" s="211" t="n">
        <x:v>0</x:v>
      </x:c>
      <x:c r="E23" s="211" t="n">
        <x:v>150000</x:v>
      </x:c>
      <x:c r="F23" s="211" t="n">
        <x:v>0</x:v>
      </x:c>
      <x:c r="G23" s="211" t="n">
        <x:v>0</x:v>
      </x:c>
      <x:c r="H23" s="211" t="n">
        <x:v>0</x:v>
      </x:c>
      <x:c r="I23" s="211" t="n">
        <x:v>0</x:v>
      </x:c>
      <x:c r="J23" s="211" t="n">
        <x:v>0</x:v>
      </x:c>
      <x:c r="K23" s="211" t="n">
        <x:v>0</x:v>
      </x:c>
      <x:c r="L23" s="211" t="n">
        <x:v>120000</x:v>
      </x:c>
      <x:c r="M23" s="211" t="n">
        <x:v>0</x:v>
      </x:c>
      <x:c r="N23" s="211" t="n">
        <x:v>0</x:v>
      </x:c>
      <x:c r="O23" s="211" t="n">
        <x:v>0</x:v>
      </x:c>
      <x:c r="P23" s="254" t="n">
        <x:f>SUM(D23:O23)</x:f>
        <x:v>270000</x:v>
      </x:c>
    </x:row>
    <x:row r="24" ht="20" customHeight="1">
      <x:c r="B24" s="258" t="str">
        <x:v>FINANCING CASH FLOW</x:v>
      </x:c>
      <x:c r="C24" s="210" t="str">
        <x:v>Debt principal repayments</x:v>
      </x:c>
      <x:c r="D24" s="211" t="n">
        <x:v>-10000</x:v>
      </x:c>
      <x:c r="E24" s="211" t="n">
        <x:v>-10000</x:v>
      </x:c>
      <x:c r="F24" s="211" t="n">
        <x:v>-10000</x:v>
      </x:c>
      <x:c r="G24" s="211" t="n">
        <x:v>-10000</x:v>
      </x:c>
      <x:c r="H24" s="211" t="n">
        <x:v>-10000</x:v>
      </x:c>
      <x:c r="I24" s="211" t="n">
        <x:v>-10000</x:v>
      </x:c>
      <x:c r="J24" s="211" t="n">
        <x:v>-12000</x:v>
      </x:c>
      <x:c r="K24" s="211" t="n">
        <x:v>-12000</x:v>
      </x:c>
      <x:c r="L24" s="211" t="n">
        <x:v>-12000</x:v>
      </x:c>
      <x:c r="M24" s="211" t="n">
        <x:v>-12000</x:v>
      </x:c>
      <x:c r="N24" s="211" t="n">
        <x:v>-12000</x:v>
      </x:c>
      <x:c r="O24" s="211" t="n">
        <x:v>-15000</x:v>
      </x:c>
      <x:c r="P24" s="254" t="n">
        <x:f>SUM(D24:O24)</x:f>
        <x:v>-135000</x:v>
      </x:c>
    </x:row>
    <x:row r="25" ht="20" customHeight="1">
      <x:c r="B25" s="258" t="str">
        <x:v>FINANCING CASH FLOW</x:v>
      </x:c>
      <x:c r="C25" s="210" t="str">
        <x:v>Interest paid</x:v>
      </x:c>
      <x:c r="D25" s="211" t="n">
        <x:v>-3000</x:v>
      </x:c>
      <x:c r="E25" s="211" t="n">
        <x:v>-3200</x:v>
      </x:c>
      <x:c r="F25" s="211" t="n">
        <x:v>-3200</x:v>
      </x:c>
      <x:c r="G25" s="211" t="n">
        <x:v>-3400</x:v>
      </x:c>
      <x:c r="H25" s="211" t="n">
        <x:v>-3400</x:v>
      </x:c>
      <x:c r="I25" s="211" t="n">
        <x:v>-3600</x:v>
      </x:c>
      <x:c r="J25" s="211" t="n">
        <x:v>-3600</x:v>
      </x:c>
      <x:c r="K25" s="211" t="n">
        <x:v>-3800</x:v>
      </x:c>
      <x:c r="L25" s="211" t="n">
        <x:v>-3800</x:v>
      </x:c>
      <x:c r="M25" s="211" t="n">
        <x:v>-4000</x:v>
      </x:c>
      <x:c r="N25" s="211" t="n">
        <x:v>-4000</x:v>
      </x:c>
      <x:c r="O25" s="211" t="n">
        <x:v>-4200</x:v>
      </x:c>
      <x:c r="P25" s="254" t="n">
        <x:f>SUM(D25:O25)</x:f>
        <x:v>-43200</x:v>
      </x:c>
    </x:row>
    <x:row r="26" ht="20" customHeight="1">
      <x:c r="B26" s="258" t="str">
        <x:v>FINANCING CASH FLOW</x:v>
      </x:c>
      <x:c r="C26" s="210" t="str">
        <x:v>Equity injection</x:v>
      </x:c>
      <x:c r="D26" s="211" t="n">
        <x:v>0</x:v>
      </x:c>
      <x:c r="E26" s="211" t="n">
        <x:v>0</x:v>
      </x:c>
      <x:c r="F26" s="211" t="n">
        <x:v>0</x:v>
      </x:c>
      <x:c r="G26" s="211" t="n">
        <x:v>0</x:v>
      </x:c>
      <x:c r="H26" s="211" t="n">
        <x:v>100000</x:v>
      </x:c>
      <x:c r="I26" s="211" t="n">
        <x:v>0</x:v>
      </x:c>
      <x:c r="J26" s="211" t="n">
        <x:v>0</x:v>
      </x:c>
      <x:c r="K26" s="211" t="n">
        <x:v>0</x:v>
      </x:c>
      <x:c r="L26" s="211" t="n">
        <x:v>0</x:v>
      </x:c>
      <x:c r="M26" s="211" t="n">
        <x:v>0</x:v>
      </x:c>
      <x:c r="N26" s="211" t="n">
        <x:v>0</x:v>
      </x:c>
      <x:c r="O26" s="211" t="n">
        <x:v>0</x:v>
      </x:c>
      <x:c r="P26" s="254" t="n">
        <x:f>SUM(D26:O26)</x:f>
        <x:v>100000</x:v>
      </x:c>
    </x:row>
    <x:row r="27" ht="20" customHeight="1">
      <x:c r="B27" s="258" t="str">
        <x:v>FINANCING CASH FLOW</x:v>
      </x:c>
      <x:c r="C27" s="210" t="str">
        <x:v>Dividends paid</x:v>
      </x:c>
      <x:c r="D27" s="211" t="n">
        <x:v>0</x:v>
      </x:c>
      <x:c r="E27" s="211" t="n">
        <x:v>0</x:v>
      </x:c>
      <x:c r="F27" s="211" t="n">
        <x:v>0</x:v>
      </x:c>
      <x:c r="G27" s="211" t="n">
        <x:v>-20000</x:v>
      </x:c>
      <x:c r="H27" s="211" t="n">
        <x:v>0</x:v>
      </x:c>
      <x:c r="I27" s="211" t="n">
        <x:v>0</x:v>
      </x:c>
      <x:c r="J27" s="211" t="n">
        <x:v>0</x:v>
      </x:c>
      <x:c r="K27" s="211" t="n">
        <x:v>-25000</x:v>
      </x:c>
      <x:c r="L27" s="211" t="n">
        <x:v>0</x:v>
      </x:c>
      <x:c r="M27" s="211" t="n">
        <x:v>0</x:v>
      </x:c>
      <x:c r="N27" s="211" t="n">
        <x:v>0</x:v>
      </x:c>
      <x:c r="O27" s="211" t="n">
        <x:v>-30000</x:v>
      </x:c>
      <x:c r="P27" s="254" t="n">
        <x:f>SUM(D27:O27)</x:f>
        <x:v>-75000</x:v>
      </x:c>
    </x:row>
    <x:row r="28" ht="20" customHeight="1">
      <x:c r="B28" s="213" t="str">
        <x:v>FINANCING CASH FLOW</x:v>
      </x:c>
      <x:c r="C28" s="214" t="str">
        <x:v>Net cash from financing</x:v>
      </x:c>
      <x:c r="D28" s="215" t="n">
        <x:f>SUM(D23:D27)</x:f>
        <x:v>-13000</x:v>
      </x:c>
      <x:c r="E28" s="215" t="n">
        <x:f>SUM(E23:E27)</x:f>
        <x:v>136800</x:v>
      </x:c>
      <x:c r="F28" s="215" t="n">
        <x:f>SUM(F23:F27)</x:f>
        <x:v>-13200</x:v>
      </x:c>
      <x:c r="G28" s="215" t="n">
        <x:f>SUM(G23:G27)</x:f>
        <x:v>-33400</x:v>
      </x:c>
      <x:c r="H28" s="215" t="n">
        <x:f>SUM(H23:H27)</x:f>
        <x:v>86600</x:v>
      </x:c>
      <x:c r="I28" s="215" t="n">
        <x:f>SUM(I23:I27)</x:f>
        <x:v>-13600</x:v>
      </x:c>
      <x:c r="J28" s="215" t="n">
        <x:f>SUM(J23:J27)</x:f>
        <x:v>-15600</x:v>
      </x:c>
      <x:c r="K28" s="215" t="n">
        <x:f>SUM(K23:K27)</x:f>
        <x:v>-40800</x:v>
      </x:c>
      <x:c r="L28" s="215" t="n">
        <x:f>SUM(L23:L27)</x:f>
        <x:v>104200</x:v>
      </x:c>
      <x:c r="M28" s="215" t="n">
        <x:f>SUM(M23:M27)</x:f>
        <x:v>-16000</x:v>
      </x:c>
      <x:c r="N28" s="215" t="n">
        <x:f>SUM(N23:N27)</x:f>
        <x:v>-16000</x:v>
      </x:c>
      <x:c r="O28" s="215" t="n">
        <x:f>SUM(O23:O27)</x:f>
        <x:v>-49200</x:v>
      </x:c>
      <x:c r="P28" s="216" t="n">
        <x:f>SUM(D28:O28)</x:f>
        <x:v>116800</x:v>
      </x:c>
    </x:row>
    <x:row r="29" ht="20" customHeight="1">
      <x:c r="B29" s="213" t="str">
        <x:v>SUMMARY</x:v>
      </x:c>
      <x:c r="C29" s="214" t="str">
        <x:v>Free cash flow</x:v>
      </x:c>
      <x:c r="D29" s="215" t="n">
        <x:f>D18+D22</x:f>
        <x:v>-5500</x:v>
      </x:c>
      <x:c r="E29" s="215" t="n">
        <x:f>E18+E22</x:f>
        <x:v>11300</x:v>
      </x:c>
      <x:c r="F29" s="215" t="n">
        <x:f>F18+F22</x:f>
        <x:v>6200</x:v>
      </x:c>
      <x:c r="G29" s="215" t="n">
        <x:f>G18+G22</x:f>
        <x:v>10600</x:v>
      </x:c>
      <x:c r="H29" s="215" t="n">
        <x:f>H18+H22</x:f>
        <x:v>33900</x:v>
      </x:c>
      <x:c r="I29" s="215" t="n">
        <x:f>I18+I22</x:f>
        <x:v>19500</x:v>
      </x:c>
      <x:c r="J29" s="215" t="n">
        <x:f>J18+J22</x:f>
        <x:v>27600</x:v>
      </x:c>
      <x:c r="K29" s="215" t="n">
        <x:f>K18+K22</x:f>
        <x:v>57200</x:v>
      </x:c>
      <x:c r="L29" s="215" t="n">
        <x:f>L18+L22</x:f>
        <x:v>-13800</x:v>
      </x:c>
      <x:c r="M29" s="215" t="n">
        <x:f>M18+M22</x:f>
        <x:v>54500</x:v>
      </x:c>
      <x:c r="N29" s="215" t="n">
        <x:f>N18+N22</x:f>
        <x:v>54600</x:v>
      </x:c>
      <x:c r="O29" s="215" t="n">
        <x:f>O18+O22</x:f>
        <x:v>48300</x:v>
      </x:c>
      <x:c r="P29" s="216" t="n">
        <x:f>SUM(D29:O29)</x:f>
        <x:v>304400</x:v>
      </x:c>
    </x:row>
    <x:row r="30" ht="20" customHeight="1">
      <x:c r="B30" s="213" t="str">
        <x:v>SUMMARY</x:v>
      </x:c>
      <x:c r="C30" s="214" t="str">
        <x:v>Net increase / (decrease) in cash</x:v>
      </x:c>
      <x:c r="D30" s="215" t="n">
        <x:f>D18+D22+D28</x:f>
        <x:v>-18500</x:v>
      </x:c>
      <x:c r="E30" s="215" t="n">
        <x:f>E18+E22+E28</x:f>
        <x:v>148100</x:v>
      </x:c>
      <x:c r="F30" s="215" t="n">
        <x:f>F18+F22+F28</x:f>
        <x:v>-7000</x:v>
      </x:c>
      <x:c r="G30" s="215" t="n">
        <x:f>G18+G22+G28</x:f>
        <x:v>-22800</x:v>
      </x:c>
      <x:c r="H30" s="215" t="n">
        <x:f>H18+H22+H28</x:f>
        <x:v>120500</x:v>
      </x:c>
      <x:c r="I30" s="215" t="n">
        <x:f>I18+I22+I28</x:f>
        <x:v>5900</x:v>
      </x:c>
      <x:c r="J30" s="215" t="n">
        <x:f>J18+J22+J28</x:f>
        <x:v>12000</x:v>
      </x:c>
      <x:c r="K30" s="215" t="n">
        <x:f>K18+K22+K28</x:f>
        <x:v>16400</x:v>
      </x:c>
      <x:c r="L30" s="215" t="n">
        <x:f>L18+L22+L28</x:f>
        <x:v>90400</x:v>
      </x:c>
      <x:c r="M30" s="215" t="n">
        <x:f>M18+M22+M28</x:f>
        <x:v>38500</x:v>
      </x:c>
      <x:c r="N30" s="215" t="n">
        <x:f>N18+N22+N28</x:f>
        <x:v>38600</x:v>
      </x:c>
      <x:c r="O30" s="215" t="n">
        <x:f>O18+O22+O28</x:f>
        <x:v>-900</x:v>
      </x:c>
      <x:c r="P30" s="216" t="n">
        <x:f>SUM(D30:O30)</x:f>
        <x:v>421200</x:v>
      </x:c>
    </x:row>
    <x:row r="31" ht="20" customHeight="1">
      <x:c r="B31" s="297" t="str">
        <x:v>SUMMARY</x:v>
      </x:c>
      <x:c r="C31" s="222" t="str">
        <x:v>Opening cash balance</x:v>
      </x:c>
      <x:c r="D31" s="305" t="n">
        <x:f>180000</x:f>
        <x:v>180000</x:v>
      </x:c>
      <x:c r="E31" s="305" t="n">
        <x:f>D32</x:f>
        <x:v>161500</x:v>
      </x:c>
      <x:c r="F31" s="305" t="n">
        <x:f>E32</x:f>
        <x:v>309600</x:v>
      </x:c>
      <x:c r="G31" s="305" t="n">
        <x:f>F32</x:f>
        <x:v>302600</x:v>
      </x:c>
      <x:c r="H31" s="305" t="n">
        <x:f>G32</x:f>
        <x:v>279800</x:v>
      </x:c>
      <x:c r="I31" s="305" t="n">
        <x:f>H32</x:f>
        <x:v>400300</x:v>
      </x:c>
      <x:c r="J31" s="305" t="n">
        <x:f>I32</x:f>
        <x:v>406200</x:v>
      </x:c>
      <x:c r="K31" s="305" t="n">
        <x:f>J32</x:f>
        <x:v>418200</x:v>
      </x:c>
      <x:c r="L31" s="305" t="n">
        <x:f>K32</x:f>
        <x:v>434600</x:v>
      </x:c>
      <x:c r="M31" s="305" t="n">
        <x:f>L32</x:f>
        <x:v>525000</x:v>
      </x:c>
      <x:c r="N31" s="305" t="n">
        <x:f>M32</x:f>
        <x:v>563500</x:v>
      </x:c>
      <x:c r="O31" s="305" t="n">
        <x:f>N32</x:f>
        <x:v>602100</x:v>
      </x:c>
      <x:c r="P31" s="306" t="n">
        <x:f>SUM(D31:O31)</x:f>
        <x:v>4583400</x:v>
      </x:c>
    </x:row>
    <x:row r="32" ht="20" customHeight="1">
      <x:c r="B32" s="213" t="str">
        <x:v>SUMMARY</x:v>
      </x:c>
      <x:c r="C32" s="214" t="str">
        <x:v>Ending cash balance</x:v>
      </x:c>
      <x:c r="D32" s="215" t="n">
        <x:f>D31+D30</x:f>
        <x:v>161500</x:v>
      </x:c>
      <x:c r="E32" s="215" t="n">
        <x:f>E31+E30</x:f>
        <x:v>309600</x:v>
      </x:c>
      <x:c r="F32" s="215" t="n">
        <x:f>F31+F30</x:f>
        <x:v>302600</x:v>
      </x:c>
      <x:c r="G32" s="215" t="n">
        <x:f>G31+G30</x:f>
        <x:v>279800</x:v>
      </x:c>
      <x:c r="H32" s="215" t="n">
        <x:f>H31+H30</x:f>
        <x:v>400300</x:v>
      </x:c>
      <x:c r="I32" s="215" t="n">
        <x:f>I31+I30</x:f>
        <x:v>406200</x:v>
      </x:c>
      <x:c r="J32" s="215" t="n">
        <x:f>J31+J30</x:f>
        <x:v>418200</x:v>
      </x:c>
      <x:c r="K32" s="215" t="n">
        <x:f>K31+K30</x:f>
        <x:v>434600</x:v>
      </x:c>
      <x:c r="L32" s="215" t="n">
        <x:f>L31+L30</x:f>
        <x:v>525000</x:v>
      </x:c>
      <x:c r="M32" s="215" t="n">
        <x:f>M31+M30</x:f>
        <x:v>563500</x:v>
      </x:c>
      <x:c r="N32" s="215" t="n">
        <x:f>N31+N30</x:f>
        <x:v>602100</x:v>
      </x:c>
      <x:c r="O32" s="215" t="n">
        <x:f>O31+O30</x:f>
        <x:v>601200</x:v>
      </x:c>
      <x:c r="P32" s="216" t="n">
        <x:f>O32</x:f>
        <x:v>601200</x:v>
      </x:c>
    </x:row>
    <x:row r="33" ht="20" customHeight="1">
      <x:c r="B33" s="260"/>
      <x:c r="C33" s="222"/>
      <x:c r="D33" s="223"/>
      <x:c r="E33" s="223"/>
      <x:c r="F33" s="223"/>
      <x:c r="G33" s="223"/>
      <x:c r="H33" s="223"/>
      <x:c r="I33" s="223"/>
      <x:c r="J33" s="223"/>
      <x:c r="K33" s="223"/>
      <x:c r="L33" s="223"/>
      <x:c r="M33" s="223"/>
      <x:c r="N33" s="223"/>
      <x:c r="O33" s="223"/>
      <x:c r="P33" s="261"/>
    </x:row>
    <x:row r="34" ht="20" customHeight="1">
      <x:c r="B34" s="262"/>
      <x:c r="C34" s="263"/>
      <x:c r="D34" s="264"/>
      <x:c r="E34" s="264"/>
      <x:c r="F34" s="264"/>
      <x:c r="G34" s="264"/>
      <x:c r="H34" s="264"/>
      <x:c r="I34" s="264"/>
      <x:c r="J34" s="264"/>
      <x:c r="K34" s="264"/>
      <x:c r="L34" s="264"/>
      <x:c r="M34" s="264"/>
      <x:c r="N34" s="264"/>
      <x:c r="O34" s="264"/>
      <x:c r="P34" s="265"/>
    </x:row>
  </x:sheetData>
  <x:mergeCells>
    <x:mergeCell ref="B2:P2"/>
    <x:mergeCell ref="B3:P3"/>
    <x:mergeCell ref="B5:E7"/>
    <x:mergeCell ref="F5:I7"/>
    <x:mergeCell ref="J5:M7"/>
    <x:mergeCell ref="N5:P7"/>
    <x:mergeCell ref="B5:E5"/>
    <x:mergeCell ref="F5:I5"/>
    <x:mergeCell ref="J5:M5"/>
    <x:mergeCell ref="N5:P5"/>
  </x:mergeCells>
  <x:conditionalFormatting sqref="N6:N6">
    <x:cfRule type="containsText" dxfId="0" priority="1" operator="containsText" text="Alert"/>
  </x:conditionalFormatting>
  <x:conditionalFormatting sqref="D10:P34">
    <x:cfRule type="cellIs" dxfId="1" priority="2" operator="lessThan">
      <x:formula>0</x:formula>
    </x:cfRule>
  </x:conditionalFormatting>
  <x:conditionalFormatting sqref="D34:O34">
    <x:cfRule type="cellIs" dxfId="2" priority="3" operator="lessThan">
      <x:formula>0</x:formula>
    </x:cfRule>
  </x:conditionalFormatting>
  <x:conditionalFormatting sqref="D30:O30">
    <x:cfRule type="dataBar" priority="4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{BEFE25BC-B946-2CBF-5E7E-75D8D5D73A42}</x14:id>
        </x:ext>
      </x:extLst>
    </x:cfRule>
  </x:conditionalFormatting>
  <x:conditionalFormatting sqref="D32:O32">
    <x:cfRule type="cellIs" dxfId="3" priority="5" operator="lessThan">
      <x:formula>0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4" id="{BEFE25BC-B946-2CBF-5E7E-75D8D5D73A42}">
            <x14:dataBar gradient="1">
              <x14:cfvo type="min"/>
              <x14:cfvo type="max"/>
              <x14:fillColor rgb="FFA02B93"/>
            </x14:dataBar>
          </x14:cfRule>
          <xm:sqref>D30:O30</xm:sqref>
        </x14:conditionalFormatting>
      </x14:conditionalFormattings>
    </x:ext>
  </x:extLst>
</x:worksheet>
</file>