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<sst xmlns="http://schemas.openxmlformats.org/spreadsheetml/2006/main" count="82" uniqueCount="64">
  <si>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</si>
  <si>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</si>
  <si>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</si>
  <si>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</si>
  <si>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</si>
  <si>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</si>
  <si>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</si>
  <si>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</si>
  <si>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</si>
  <si>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</si>
  <si>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</si>
  <si>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</si>
  <si>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</si>
  <si>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</si>
  <si>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</si>
  <si>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</si>
  <si>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</si>
  <si>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</si>
  <si>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</si>
  <si>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Cash receipts from customers</t>
  </si>
  <si>
    <t>Service credits and odd receipts</t>
  </si>
  <si>
    <t>Refunds / other operating inflows</t>
  </si>
  <si>
    <t>RUN-THE-BUSINESS CASH</t>
  </si>
  <si>
    <t>Partner operating payouts</t>
  </si>
  <si>
    <t>Payments to suppliers</t>
  </si>
  <si>
    <t>People engine cash</t>
  </si>
  <si>
    <t>Payroll and benefits</t>
  </si>
  <si>
    <t>Space commitments</t>
  </si>
  <si>
    <t>Rent and facilities</t>
  </si>
  <si>
    <t>Demand creation spend</t>
  </si>
  <si>
    <t>Sales &amp; marketing</t>
  </si>
  <si>
    <t>Back-office platform costs</t>
  </si>
  <si>
    <t>General &amp; admin</t>
  </si>
  <si>
    <t>Treasury tax cash-out</t>
  </si>
  <si>
    <t>Income taxes paid</t>
  </si>
  <si>
    <t>Runway generated by operations</t>
  </si>
  <si>
    <t>Net cash from operations</t>
  </si>
  <si>
    <t>ASSET ENGINE CASH</t>
  </si>
  <si>
    <t>Long-life asset buildout</t>
  </si>
  <si>
    <t>Capital expenditures</t>
  </si>
  <si>
    <t>Product build capitalization</t>
  </si>
  <si>
    <t>Software development capitalization</t>
  </si>
  <si>
    <t>Equipment exit cash</t>
  </si>
  <si>
    <t>Asset sale proceeds</t>
  </si>
  <si>
    <t>Asset-engine net cash</t>
  </si>
  <si>
    <t>Net cash from investing</t>
  </si>
  <si>
    <t>CAPITAL STACK CASH</t>
  </si>
  <si>
    <t>Credit line cash-in</t>
  </si>
  <si>
    <t>Debt drawdown</t>
  </si>
  <si>
    <t>Lender principal return</t>
  </si>
  <si>
    <t>Debt principal repayments</t>
  </si>
  <si>
    <t>Cost of borrowing cash</t>
  </si>
  <si>
    <t>Interest paid</t>
  </si>
  <si>
    <t>Sponsor cash support</t>
  </si>
  <si>
    <t>Equity injection</t>
  </si>
  <si>
    <t>Owner cash takeouts</t>
  </si>
  <si>
    <t>Dividends paid</t>
  </si>
  <si>
    <t>Capital stack net movement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</si>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</sst>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1:16" x14ac:dyDescent="0.25">
      <c r="A10" t="s">
        <v>17</v>
      </c>
      <c r="B10" s="17" t="s">
        <v>18</v>
      </c>
      <c r="C10" s="18" t="s">
        <v>19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1:16" x14ac:dyDescent="0.25">
      <c r="A11" t="s">
        <v>17</v>
      </c>
      <c r="B11" s="17" t="s">
        <v>20</v>
      </c>
      <c r="C11" s="18" t="s">
        <v>21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1:16" x14ac:dyDescent="0.25">
      <c r="A12" t="s">
        <v>22</v>
      </c>
      <c r="B12" s="17" t="s">
        <v>23</v>
      </c>
      <c r="C12" s="18" t="s">
        <v>24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1:16" x14ac:dyDescent="0.25">
      <c r="A13" t="s">
        <v>22</v>
      </c>
      <c r="B13" s="17" t="s">
        <v>25</v>
      </c>
      <c r="C13" s="18" t="s">
        <v>26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1:16" x14ac:dyDescent="0.25">
      <c r="A14" t="s">
        <v>22</v>
      </c>
      <c r="B14" s="17" t="s">
        <v>27</v>
      </c>
      <c r="C14" s="18" t="s">
        <v>28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1:16" x14ac:dyDescent="0.25">
      <c r="A15" t="s">
        <v>22</v>
      </c>
      <c r="B15" s="17" t="s">
        <v>29</v>
      </c>
      <c r="C15" s="18" t="s">
        <v>30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1:16" x14ac:dyDescent="0.25">
      <c r="A16" t="s">
        <v>22</v>
      </c>
      <c r="B16" s="17" t="s">
        <v>31</v>
      </c>
      <c r="C16" s="18" t="s">
        <v>32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1:16" x14ac:dyDescent="0.25">
      <c r="A17" t="s">
        <v>22</v>
      </c>
      <c r="B17" s="17" t="s">
        <v>33</v>
      </c>
      <c r="C17" s="18" t="s">
        <v>34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1:16" x14ac:dyDescent="0.25">
      <c r="A18" t="s">
        <v>22</v>
      </c>
      <c r="B18" s="21" t="s">
        <v>35</v>
      </c>
      <c r="C18" s="22" t="s">
        <v>36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1:16" x14ac:dyDescent="0.25">
      <c r="A19" t="s">
        <v>37</v>
      </c>
      <c r="B19" s="25" t="s">
        <v>38</v>
      </c>
      <c r="C19" s="18" t="s">
        <v>39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1:16" x14ac:dyDescent="0.25">
      <c r="A20" t="s">
        <v>37</v>
      </c>
      <c r="B20" s="25" t="s">
        <v>40</v>
      </c>
      <c r="C20" s="18" t="s">
        <v>41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1:16" x14ac:dyDescent="0.25">
      <c r="A21" t="s">
        <v>37</v>
      </c>
      <c r="B21" s="25" t="s">
        <v>42</v>
      </c>
      <c r="C21" s="18" t="s">
        <v>43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1:16" x14ac:dyDescent="0.25">
      <c r="A22" t="s">
        <v>37</v>
      </c>
      <c r="B22" s="21" t="s">
        <v>44</v>
      </c>
      <c r="C22" s="22" t="s">
        <v>45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1:16" x14ac:dyDescent="0.25">
      <c r="A23" t="s">
        <v>46</v>
      </c>
      <c r="B23" s="26" t="s">
        <v>47</v>
      </c>
      <c r="C23" s="18" t="s">
        <v>48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1:16" x14ac:dyDescent="0.25">
      <c r="A24" t="s">
        <v>46</v>
      </c>
      <c r="B24" s="26" t="s">
        <v>49</v>
      </c>
      <c r="C24" s="18" t="s">
        <v>50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1:16" x14ac:dyDescent="0.25">
      <c r="A25" t="s">
        <v>46</v>
      </c>
      <c r="B25" s="26" t="s">
        <v>51</v>
      </c>
      <c r="C25" s="18" t="s">
        <v>52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1:16" x14ac:dyDescent="0.25">
      <c r="A26" t="s">
        <v>46</v>
      </c>
      <c r="B26" s="26" t="s">
        <v>53</v>
      </c>
      <c r="C26" s="18" t="s">
        <v>54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1:16" x14ac:dyDescent="0.25">
      <c r="A27" t="s">
        <v>46</v>
      </c>
      <c r="B27" s="26" t="s">
        <v>55</v>
      </c>
      <c r="C27" s="18" t="s">
        <v>56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1:16" x14ac:dyDescent="0.25">
      <c r="A28" t="s">
        <v>46</v>
      </c>
      <c r="B28" s="21" t="s">
        <v>57</v>
      </c>
      <c r="C28" s="22" t="s">
        <v>58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59</v>
      </c>
      <c r="C29" s="22" t="s">
        <v>60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59</v>
      </c>
      <c r="C30" s="22" t="s">
        <v>61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59</v>
      </c>
      <c r="C31" s="28" t="s">
        <v>62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59</v>
      </c>
      <c r="C32" s="22" t="s">
        <v>63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{5CA4F8AD-8534-4168-ABF7-28DBEB7B370C}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A4F8AD-8534-4168-ABF7-28DBEB7B370C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2026-05-11T17:05:21Z</dcterms:created>
  <dcterms:modified xsi:type="dcterms:W3CDTF">2026-05-11T17:05:21Z</dcterms:modified>
</cp:coreProperties>
</file>