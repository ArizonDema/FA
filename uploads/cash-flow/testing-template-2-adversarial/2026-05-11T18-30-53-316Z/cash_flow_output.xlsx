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<sst xmlns="http://schemas.openxmlformats.org/spreadsheetml/2006/main" count="63" uniqueCount="45">
  <si>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</si>
  <si>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</si>
  <si>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</si>
  <si>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</si>
  <si>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</si>
  <si>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</si>
  <si>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</si>
  <si>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</si>
  <si>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</si>
  <si>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</si>
  <si>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</si>
  <si>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</si>
  <si>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</si>
  <si>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</si>
  <si>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</si>
  <si>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</si>
  <si>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</si>
  <si>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</si>
  <si>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</si>
  <si>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Service credits and odd receipts</t>
  </si>
  <si>
    <t>RUN-THE-BUSINESS CASH</t>
  </si>
  <si>
    <t>Partner operating payouts</t>
  </si>
  <si>
    <t>People engine cash</t>
  </si>
  <si>
    <t>Space commitments</t>
  </si>
  <si>
    <t>Demand creation spend</t>
  </si>
  <si>
    <t>Back-office platform costs</t>
  </si>
  <si>
    <t>Treasury tax cash-out</t>
  </si>
  <si>
    <t>Runway generated by operations</t>
  </si>
  <si>
    <t>ASSET ENGINE CASH</t>
  </si>
  <si>
    <t>Long-life asset buildout</t>
  </si>
  <si>
    <t>Product build capitalization</t>
  </si>
  <si>
    <t>Equipment exit cash</t>
  </si>
  <si>
    <t>Asset-engine net cash</t>
  </si>
  <si>
    <t>CAPITAL STACK CASH</t>
  </si>
  <si>
    <t>Credit line cash-in</t>
  </si>
  <si>
    <t>Lender principal return</t>
  </si>
  <si>
    <t>Cost of borrowing cash</t>
  </si>
  <si>
    <t>Sponsor cash support</t>
  </si>
  <si>
    <t>Owner cash takeouts</t>
  </si>
  <si>
    <t>Capital stack net movement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</si>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</sst>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</c>
      <c r="C5" s="4"/>
      <c r="D5" s="4"/>
      <c r="E5" s="5"/>
      <c r="F5" s="3">
        <f>SUM(D30:O30)</f>
      </c>
      <c r="G5" s="4"/>
      <c r="H5" s="4"/>
      <c r="I5" s="5"/>
      <c r="J5" s="3">
        <f>P32</f>
      </c>
      <c r="K5" s="4"/>
      <c r="L5" s="4"/>
      <c r="M5" s="5"/>
      <c r="N5" s="3">
        <f>IF(MIN(D32:O32)&lt;0,"Alert","Stable")</f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39000</v>
      </c>
      <c r="E10" s="19">
        <v>41000</v>
      </c>
      <c r="F10" s="19">
        <v>43000</v>
      </c>
      <c r="G10" s="19">
        <v>45000</v>
      </c>
      <c r="H10" s="19">
        <v>59000</v>
      </c>
      <c r="I10" s="19">
        <v>49500</v>
      </c>
      <c r="J10" s="19">
        <v>0</v>
      </c>
      <c r="K10" s="19">
        <v>290000</v>
      </c>
      <c r="L10" s="19">
        <v>300000</v>
      </c>
      <c r="M10" s="19">
        <v>310000</v>
      </c>
      <c r="N10" s="19">
        <v>320000</v>
      </c>
      <c r="O10" s="19">
        <v>335000</v>
      </c>
      <c r="P10" s="20">
        <f>SUM(D10:O10)</f>
      </c>
    </row>
    <row r="11" ht="20" customHeight="1" spans="2:16" x14ac:dyDescent="0.25">
      <c r="B11" s="17" t="s">
        <v>17</v>
      </c>
      <c r="C11" s="18" t="s">
        <v>19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4500</v>
      </c>
      <c r="L11" s="19">
        <v>4000</v>
      </c>
      <c r="M11" s="19">
        <v>5000</v>
      </c>
      <c r="N11" s="19">
        <v>5200</v>
      </c>
      <c r="O11" s="19">
        <v>6000</v>
      </c>
      <c r="P11" s="20">
        <f>SUM(D11:O11)</f>
      </c>
    </row>
    <row r="12" ht="20" customHeight="1" spans="2:16" x14ac:dyDescent="0.25">
      <c r="B12" s="17" t="s">
        <v>20</v>
      </c>
      <c r="C12" s="18" t="s">
        <v>21</v>
      </c>
      <c r="D12" s="19">
        <v>-4410</v>
      </c>
      <c r="E12" s="19">
        <v>-4540</v>
      </c>
      <c r="F12" s="19">
        <v>-4605</v>
      </c>
      <c r="G12" s="19">
        <v>-4735</v>
      </c>
      <c r="H12" s="19">
        <v>-4865</v>
      </c>
      <c r="I12" s="19">
        <v>-4930</v>
      </c>
      <c r="J12" s="19">
        <v>0</v>
      </c>
      <c r="K12" s="19">
        <v>-141000</v>
      </c>
      <c r="L12" s="19">
        <v>-145000</v>
      </c>
      <c r="M12" s="19">
        <v>-149000</v>
      </c>
      <c r="N12" s="19">
        <v>-152000</v>
      </c>
      <c r="O12" s="19">
        <v>-158000</v>
      </c>
      <c r="P12" s="20">
        <f>SUM(D12:O12)</f>
      </c>
    </row>
    <row r="13" ht="20" customHeight="1" spans="2:16" x14ac:dyDescent="0.25">
      <c r="B13" s="17" t="s">
        <v>20</v>
      </c>
      <c r="C13" s="18" t="s">
        <v>22</v>
      </c>
      <c r="D13" s="19">
        <v>-12000</v>
      </c>
      <c r="E13" s="19">
        <v>-12500</v>
      </c>
      <c r="F13" s="19">
        <v>-13000</v>
      </c>
      <c r="G13" s="19">
        <v>-13500</v>
      </c>
      <c r="H13" s="19">
        <v>-14000</v>
      </c>
      <c r="I13" s="19">
        <v>-14500</v>
      </c>
      <c r="J13" s="19">
        <v>0</v>
      </c>
      <c r="K13" s="19">
        <v>-55000</v>
      </c>
      <c r="L13" s="19">
        <v>-56000</v>
      </c>
      <c r="M13" s="19">
        <v>-56000</v>
      </c>
      <c r="N13" s="19">
        <v>-57000</v>
      </c>
      <c r="O13" s="19">
        <v>-58000</v>
      </c>
      <c r="P13" s="20">
        <f>SUM(D13:O13)</f>
      </c>
    </row>
    <row r="14" ht="20" customHeight="1" spans="2:16" x14ac:dyDescent="0.25">
      <c r="B14" s="17" t="s">
        <v>20</v>
      </c>
      <c r="C14" s="18" t="s">
        <v>23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-9800</v>
      </c>
      <c r="L14" s="19">
        <v>-10200</v>
      </c>
      <c r="M14" s="19">
        <v>-10200</v>
      </c>
      <c r="N14" s="19">
        <v>-10200</v>
      </c>
      <c r="O14" s="19">
        <v>-10200</v>
      </c>
      <c r="P14" s="20">
        <f>SUM(D14:O14)</f>
      </c>
    </row>
    <row r="15" ht="20" customHeight="1" spans="2:16" x14ac:dyDescent="0.25">
      <c r="B15" s="17" t="s">
        <v>20</v>
      </c>
      <c r="C15" s="18" t="s">
        <v>24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-16000</v>
      </c>
      <c r="L15" s="19">
        <v>-16500</v>
      </c>
      <c r="M15" s="19">
        <v>-17000</v>
      </c>
      <c r="N15" s="19">
        <v>-17500</v>
      </c>
      <c r="O15" s="19">
        <v>-18500</v>
      </c>
      <c r="P15" s="20">
        <f>SUM(D15:O15)</f>
      </c>
    </row>
    <row r="16" ht="20" customHeight="1" spans="2:16" x14ac:dyDescent="0.25">
      <c r="B16" s="17" t="s">
        <v>20</v>
      </c>
      <c r="C16" s="18" t="s">
        <v>25</v>
      </c>
      <c r="D16" s="19">
        <v>-22400</v>
      </c>
      <c r="E16" s="19">
        <v>-8620</v>
      </c>
      <c r="F16" s="19">
        <v>-8990</v>
      </c>
      <c r="G16" s="19">
        <v>-9260</v>
      </c>
      <c r="H16" s="19">
        <v>-9580</v>
      </c>
      <c r="I16" s="19">
        <v>-9850</v>
      </c>
      <c r="J16" s="19">
        <v>0</v>
      </c>
      <c r="K16" s="19">
        <v>-9000</v>
      </c>
      <c r="L16" s="19">
        <v>-9100</v>
      </c>
      <c r="M16" s="19">
        <v>-9300</v>
      </c>
      <c r="N16" s="19">
        <v>-9400</v>
      </c>
      <c r="O16" s="19">
        <v>-9500</v>
      </c>
      <c r="P16" s="20">
        <f>SUM(D16:O16)</f>
      </c>
    </row>
    <row r="17" ht="20" customHeight="1" spans="2:16" x14ac:dyDescent="0.25">
      <c r="B17" s="17" t="s">
        <v>20</v>
      </c>
      <c r="C17" s="18" t="s">
        <v>26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-16000</v>
      </c>
      <c r="M17" s="19">
        <v>0</v>
      </c>
      <c r="N17" s="19">
        <v>0</v>
      </c>
      <c r="O17" s="19">
        <v>-18000</v>
      </c>
      <c r="P17" s="20">
        <f>SUM(D17:O17)</f>
      </c>
    </row>
    <row r="18" ht="20" customHeight="1" spans="2:16" x14ac:dyDescent="0.25">
      <c r="B18" s="21" t="s">
        <v>20</v>
      </c>
      <c r="C18" s="22" t="s">
        <v>27</v>
      </c>
      <c r="D18" s="23">
        <f>SUM(D10:D17)</f>
      </c>
      <c r="E18" s="23">
        <f>SUM(E10:E17)</f>
      </c>
      <c r="F18" s="23">
        <f>SUM(F10:F17)</f>
      </c>
      <c r="G18" s="23">
        <f>SUM(G10:G17)</f>
      </c>
      <c r="H18" s="23">
        <f>SUM(H10:H17)</f>
      </c>
      <c r="I18" s="23">
        <f>SUM(I10:I17)</f>
      </c>
      <c r="J18" s="23">
        <f>SUM(J10:J17)</f>
      </c>
      <c r="K18" s="23">
        <f>SUM(K10:K17)</f>
      </c>
      <c r="L18" s="23">
        <f>SUM(L10:L17)</f>
      </c>
      <c r="M18" s="23">
        <f>SUM(M10:M17)</f>
      </c>
      <c r="N18" s="23">
        <f>SUM(N10:N17)</f>
      </c>
      <c r="O18" s="23">
        <f>SUM(O10:O17)</f>
      </c>
      <c r="P18" s="24">
        <f>SUM(D18:O18)</f>
      </c>
    </row>
    <row r="19" ht="20" customHeight="1" spans="2:16" x14ac:dyDescent="0.25">
      <c r="B19" s="25" t="s">
        <v>28</v>
      </c>
      <c r="C19" s="18" t="s">
        <v>29</v>
      </c>
      <c r="D19" s="19">
        <v>-18000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-12000</v>
      </c>
      <c r="L19" s="19">
        <v>-55000</v>
      </c>
      <c r="M19" s="19">
        <v>-9000</v>
      </c>
      <c r="N19" s="19">
        <v>-14000</v>
      </c>
      <c r="O19" s="19">
        <v>-28000</v>
      </c>
      <c r="P19" s="20">
        <f>SUM(D19:O19)</f>
      </c>
    </row>
    <row r="20" ht="20" customHeight="1" spans="2:16" x14ac:dyDescent="0.25">
      <c r="B20" s="25" t="s">
        <v>28</v>
      </c>
      <c r="C20" s="18" t="s">
        <v>30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-9500</v>
      </c>
      <c r="L20" s="19">
        <v>-10000</v>
      </c>
      <c r="M20" s="19">
        <v>-10000</v>
      </c>
      <c r="N20" s="19">
        <v>-10500</v>
      </c>
      <c r="O20" s="19">
        <v>-10500</v>
      </c>
      <c r="P20" s="20">
        <f>SUM(D20:O20)</f>
      </c>
    </row>
    <row r="21" ht="20" customHeight="1" spans="2:16" x14ac:dyDescent="0.25">
      <c r="B21" s="25" t="s">
        <v>28</v>
      </c>
      <c r="C21" s="18" t="s">
        <v>31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15000</v>
      </c>
      <c r="L21" s="19">
        <v>0</v>
      </c>
      <c r="M21" s="19">
        <v>0</v>
      </c>
      <c r="N21" s="19">
        <v>0</v>
      </c>
      <c r="O21" s="19">
        <v>18000</v>
      </c>
      <c r="P21" s="20">
        <f>SUM(D21:O21)</f>
      </c>
    </row>
    <row r="22" ht="20" customHeight="1" spans="2:16" x14ac:dyDescent="0.25">
      <c r="B22" s="21" t="s">
        <v>28</v>
      </c>
      <c r="C22" s="22" t="s">
        <v>32</v>
      </c>
      <c r="D22" s="23">
        <f>SUM(D19:D21)</f>
      </c>
      <c r="E22" s="23">
        <f>SUM(E19:E21)</f>
      </c>
      <c r="F22" s="23">
        <f>SUM(F19:F21)</f>
      </c>
      <c r="G22" s="23">
        <f>SUM(G19:G21)</f>
      </c>
      <c r="H22" s="23">
        <f>SUM(H19:H21)</f>
      </c>
      <c r="I22" s="23">
        <f>SUM(I19:I21)</f>
      </c>
      <c r="J22" s="23">
        <f>SUM(J19:J21)</f>
      </c>
      <c r="K22" s="23">
        <f>SUM(K19:K21)</f>
      </c>
      <c r="L22" s="23">
        <f>SUM(L19:L21)</f>
      </c>
      <c r="M22" s="23">
        <f>SUM(M19:M21)</f>
      </c>
      <c r="N22" s="23">
        <f>SUM(N19:N21)</f>
      </c>
      <c r="O22" s="23">
        <f>SUM(O19:O21)</f>
      </c>
      <c r="P22" s="24">
        <f>SUM(D22:O22)</f>
      </c>
    </row>
    <row r="23" ht="20" customHeight="1" spans="2:16" x14ac:dyDescent="0.25">
      <c r="B23" s="26" t="s">
        <v>33</v>
      </c>
      <c r="C23" s="18" t="s">
        <v>34</v>
      </c>
      <c r="D23" s="19">
        <v>0</v>
      </c>
      <c r="E23" s="19">
        <v>35000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120000</v>
      </c>
      <c r="M23" s="19">
        <v>0</v>
      </c>
      <c r="N23" s="19">
        <v>0</v>
      </c>
      <c r="O23" s="19">
        <v>0</v>
      </c>
      <c r="P23" s="20">
        <f>SUM(D23:O23)</f>
      </c>
    </row>
    <row r="24" ht="20" customHeight="1" spans="2:16" x14ac:dyDescent="0.25">
      <c r="B24" s="26" t="s">
        <v>33</v>
      </c>
      <c r="C24" s="18" t="s">
        <v>35</v>
      </c>
      <c r="D24" s="19">
        <v>-2260</v>
      </c>
      <c r="E24" s="19">
        <v>-2320</v>
      </c>
      <c r="F24" s="19">
        <v>-2380</v>
      </c>
      <c r="G24" s="19">
        <v>-2440</v>
      </c>
      <c r="H24" s="19">
        <v>-2500</v>
      </c>
      <c r="I24" s="19">
        <v>-2560</v>
      </c>
      <c r="J24" s="19">
        <v>0</v>
      </c>
      <c r="K24" s="19">
        <v>-12000</v>
      </c>
      <c r="L24" s="19">
        <v>-12000</v>
      </c>
      <c r="M24" s="19">
        <v>-12000</v>
      </c>
      <c r="N24" s="19">
        <v>-12000</v>
      </c>
      <c r="O24" s="19">
        <v>-15000</v>
      </c>
      <c r="P24" s="20">
        <f>SUM(D24:O24)</f>
      </c>
    </row>
    <row r="25" ht="20" customHeight="1" spans="2:16" x14ac:dyDescent="0.25">
      <c r="B25" s="26" t="s">
        <v>33</v>
      </c>
      <c r="C25" s="18" t="s">
        <v>36</v>
      </c>
      <c r="D25" s="19">
        <v>-480</v>
      </c>
      <c r="E25" s="19">
        <v>-500</v>
      </c>
      <c r="F25" s="19">
        <v>-520</v>
      </c>
      <c r="G25" s="19">
        <v>-540</v>
      </c>
      <c r="H25" s="19">
        <v>-560</v>
      </c>
      <c r="I25" s="19">
        <v>-580</v>
      </c>
      <c r="J25" s="19">
        <v>0</v>
      </c>
      <c r="K25" s="19">
        <v>-3800</v>
      </c>
      <c r="L25" s="19">
        <v>-3800</v>
      </c>
      <c r="M25" s="19">
        <v>-4000</v>
      </c>
      <c r="N25" s="19">
        <v>-4000</v>
      </c>
      <c r="O25" s="19">
        <v>-4200</v>
      </c>
      <c r="P25" s="20">
        <f>SUM(D25:O25)</f>
      </c>
    </row>
    <row r="26" ht="20" customHeight="1" spans="2:16" x14ac:dyDescent="0.25">
      <c r="B26" s="26" t="s">
        <v>33</v>
      </c>
      <c r="C26" s="18" t="s">
        <v>37</v>
      </c>
      <c r="D26" s="19">
        <v>120000</v>
      </c>
      <c r="E26" s="19">
        <v>0</v>
      </c>
      <c r="F26" s="19">
        <v>0</v>
      </c>
      <c r="G26" s="19">
        <v>15000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</c>
    </row>
    <row r="27" ht="20" customHeight="1" spans="2:16" x14ac:dyDescent="0.25">
      <c r="B27" s="26" t="s">
        <v>33</v>
      </c>
      <c r="C27" s="18" t="s">
        <v>38</v>
      </c>
      <c r="D27" s="19">
        <v>0</v>
      </c>
      <c r="E27" s="19">
        <v>0</v>
      </c>
      <c r="F27" s="19">
        <v>-6000</v>
      </c>
      <c r="G27" s="19">
        <v>0</v>
      </c>
      <c r="H27" s="19">
        <v>0</v>
      </c>
      <c r="I27" s="19">
        <v>0</v>
      </c>
      <c r="J27" s="19">
        <v>0</v>
      </c>
      <c r="K27" s="19">
        <v>-25000</v>
      </c>
      <c r="L27" s="19">
        <v>0</v>
      </c>
      <c r="M27" s="19">
        <v>0</v>
      </c>
      <c r="N27" s="19">
        <v>0</v>
      </c>
      <c r="O27" s="19">
        <v>-30000</v>
      </c>
      <c r="P27" s="20">
        <f>SUM(D27:O27)</f>
      </c>
    </row>
    <row r="28" ht="20" customHeight="1" spans="2:16" x14ac:dyDescent="0.25">
      <c r="B28" s="21" t="s">
        <v>33</v>
      </c>
      <c r="C28" s="22" t="s">
        <v>39</v>
      </c>
      <c r="D28" s="23">
        <f>SUM(D23:D27)</f>
      </c>
      <c r="E28" s="23">
        <f>SUM(E23:E27)</f>
      </c>
      <c r="F28" s="23">
        <f>SUM(F23:F27)</f>
      </c>
      <c r="G28" s="23">
        <f>SUM(G23:G27)</f>
      </c>
      <c r="H28" s="23">
        <f>SUM(H23:H27)</f>
      </c>
      <c r="I28" s="23">
        <f>SUM(I23:I27)</f>
      </c>
      <c r="J28" s="23">
        <f>SUM(J23:J27)</f>
      </c>
      <c r="K28" s="23">
        <f>SUM(K23:K27)</f>
      </c>
      <c r="L28" s="23">
        <f>SUM(L23:L27)</f>
      </c>
      <c r="M28" s="23">
        <f>SUM(M23:M27)</f>
      </c>
      <c r="N28" s="23">
        <f>SUM(N23:N27)</f>
      </c>
      <c r="O28" s="23">
        <f>SUM(O23:O27)</f>
      </c>
      <c r="P28" s="24">
        <f>SUM(D28:O28)</f>
      </c>
    </row>
    <row r="29" ht="20" customHeight="1" spans="2:16" x14ac:dyDescent="0.25">
      <c r="B29" s="21" t="s">
        <v>40</v>
      </c>
      <c r="C29" s="22" t="s">
        <v>41</v>
      </c>
      <c r="D29" s="23">
        <f>D18+D22</f>
      </c>
      <c r="E29" s="23">
        <f>E18+E22</f>
      </c>
      <c r="F29" s="23">
        <f>F18+F22</f>
      </c>
      <c r="G29" s="23">
        <f>G18+G22</f>
      </c>
      <c r="H29" s="23">
        <f>H18+H22</f>
      </c>
      <c r="I29" s="23">
        <f>I18+I22</f>
      </c>
      <c r="J29" s="23">
        <f>J18+J22</f>
      </c>
      <c r="K29" s="23">
        <f>K18+K22</f>
      </c>
      <c r="L29" s="23">
        <f>L18+L22</f>
      </c>
      <c r="M29" s="23">
        <f>M18+M22</f>
      </c>
      <c r="N29" s="23">
        <f>N18+N22</f>
      </c>
      <c r="O29" s="23">
        <f>O18+O22</f>
      </c>
      <c r="P29" s="24">
        <f>SUM(D29:O29)</f>
      </c>
    </row>
    <row r="30" ht="20" customHeight="1" spans="2:16" x14ac:dyDescent="0.25">
      <c r="B30" s="21" t="s">
        <v>40</v>
      </c>
      <c r="C30" s="22" t="s">
        <v>42</v>
      </c>
      <c r="D30" s="23">
        <f>D18+D22+D28</f>
      </c>
      <c r="E30" s="23">
        <f>E18+E22+E28</f>
      </c>
      <c r="F30" s="23">
        <f>F18+F22+F28</f>
      </c>
      <c r="G30" s="23">
        <f>G18+G22+G28</f>
      </c>
      <c r="H30" s="23">
        <f>H18+H22+H28</f>
      </c>
      <c r="I30" s="23">
        <f>I18+I22+I28</f>
      </c>
      <c r="J30" s="23">
        <f>J18+J22+J28</f>
      </c>
      <c r="K30" s="23">
        <f>K18+K22+K28</f>
      </c>
      <c r="L30" s="23">
        <f>L18+L22+L28</f>
      </c>
      <c r="M30" s="23">
        <f>M18+M22+M28</f>
      </c>
      <c r="N30" s="23">
        <f>N18+N22+N28</f>
      </c>
      <c r="O30" s="23">
        <f>O18+O22+O28</f>
      </c>
      <c r="P30" s="24">
        <f>SUM(D30:O30)</f>
      </c>
    </row>
    <row r="31" ht="20" customHeight="1" spans="2:16" x14ac:dyDescent="0.25">
      <c r="B31" s="27" t="s">
        <v>40</v>
      </c>
      <c r="C31" s="28" t="s">
        <v>43</v>
      </c>
      <c r="D31" s="29">
        <v>0</v>
      </c>
      <c r="E31" s="29">
        <f>D32</f>
      </c>
      <c r="F31" s="29">
        <f>E32</f>
      </c>
      <c r="G31" s="29">
        <f>F32</f>
      </c>
      <c r="H31" s="29">
        <f>G32</f>
      </c>
      <c r="I31" s="29">
        <f>H32</f>
      </c>
      <c r="J31" s="29">
        <f>I32</f>
      </c>
      <c r="K31" s="29">
        <f>J32</f>
      </c>
      <c r="L31" s="29">
        <f>K32</f>
      </c>
      <c r="M31" s="29">
        <f>L32</f>
      </c>
      <c r="N31" s="29">
        <f>M32</f>
      </c>
      <c r="O31" s="29">
        <f>N32</f>
      </c>
      <c r="P31" s="30">
        <f>SUM(D31:O31)</f>
      </c>
    </row>
    <row r="32" ht="20" customHeight="1" spans="2:16" x14ac:dyDescent="0.25">
      <c r="B32" s="21" t="s">
        <v>40</v>
      </c>
      <c r="C32" s="22" t="s">
        <v>44</v>
      </c>
      <c r="D32" s="23">
        <f>D31+D30</f>
      </c>
      <c r="E32" s="23">
        <f>E31+E30</f>
      </c>
      <c r="F32" s="23">
        <f>F31+F30</f>
      </c>
      <c r="G32" s="23">
        <f>G31+G30</f>
      </c>
      <c r="H32" s="23">
        <f>H31+H30</f>
      </c>
      <c r="I32" s="23">
        <f>I31+I30</f>
      </c>
      <c r="J32" s="23">
        <f>J31+J30</f>
      </c>
      <c r="K32" s="23">
        <f>K31+K30</f>
      </c>
      <c r="L32" s="23">
        <f>L31+L30</f>
      </c>
      <c r="M32" s="23">
        <f>M31+M30</f>
      </c>
      <c r="N32" s="23">
        <f>N31+N30</f>
      </c>
      <c r="O32" s="23">
        <f>O31+O30</f>
      </c>
      <c r="P32" s="24">
        <f>O32</f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{80BD3DEC-BA31-44A1-95CA-4B9A14E6AA60}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BD3DEC-BA31-44A1-95CA-4B9A14E6AA60}">
            <x14:dataBar minLength="0" maxLength="100">
              <x14:cfvo type="min"/>
              <x14:cfvo type="max"/>
            </x14:dataBar>
          </x14:cfRule>
          <xm:sqref>D30:O30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2026-05-11T18:30:53Z</dcterms:created>
  <dcterms:modified xsi:type="dcterms:W3CDTF">2026-05-11T18:30:53Z</dcterms:modified>
</cp:coreProperties>
</file>