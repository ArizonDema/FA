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<sst xmlns="http://schemas.openxmlformats.org/spreadsheetml/2006/main" count="82" uniqueCount="64">
  <si>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</si>
  <si>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</si>
  <si>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</si>
  <si>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</si>
  <si>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</si>
  <si>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</si>
  <si>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</si>
  <si>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</si>
  <si>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</si>
  <si>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</si>
  <si>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</si>
  <si>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</si>
  <si>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</si>
  <si>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</si>
  <si>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</si>
  <si>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</si>
  <si>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</si>
  <si>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</si>
  <si>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</si>
  <si>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Cash receipts from customers</t>
  </si>
  <si>
    <t>Service credits and odd receipts</t>
  </si>
  <si>
    <t>Refunds / other operating inflows</t>
  </si>
  <si>
    <t>RUN-THE-BUSINESS CASH</t>
  </si>
  <si>
    <t>Partner operating payouts</t>
  </si>
  <si>
    <t>Payments to suppliers</t>
  </si>
  <si>
    <t>People engine cash</t>
  </si>
  <si>
    <t>Payroll and benefits</t>
  </si>
  <si>
    <t>Space commitments</t>
  </si>
  <si>
    <t>Rent and facilities</t>
  </si>
  <si>
    <t>Demand creation spend</t>
  </si>
  <si>
    <t>Sales &amp; marketing</t>
  </si>
  <si>
    <t>Back-office platform costs</t>
  </si>
  <si>
    <t>General &amp; admin</t>
  </si>
  <si>
    <t>Treasury tax cash-out</t>
  </si>
  <si>
    <t>Income taxes paid</t>
  </si>
  <si>
    <t>Runway generated by operations</t>
  </si>
  <si>
    <t>Net cash from operations</t>
  </si>
  <si>
    <t>ASSET ENGINE CASH</t>
  </si>
  <si>
    <t>Long-life asset buildout</t>
  </si>
  <si>
    <t>Capital expenditures</t>
  </si>
  <si>
    <t>Product build capitalization</t>
  </si>
  <si>
    <t>Software development capitalization</t>
  </si>
  <si>
    <t>Equipment exit cash</t>
  </si>
  <si>
    <t>Asset sale proceeds</t>
  </si>
  <si>
    <t>Asset-engine net cash</t>
  </si>
  <si>
    <t>Net cash from investing</t>
  </si>
  <si>
    <t>CAPITAL STACK CASH</t>
  </si>
  <si>
    <t>Credit line cash-in</t>
  </si>
  <si>
    <t>Debt drawdown</t>
  </si>
  <si>
    <t>Lender principal return</t>
  </si>
  <si>
    <t>Debt principal repayments</t>
  </si>
  <si>
    <t>Cost of borrowing cash</t>
  </si>
  <si>
    <t>Interest paid</t>
  </si>
  <si>
    <t>Sponsor cash support</t>
  </si>
  <si>
    <t>Equity injection</t>
  </si>
  <si>
    <t>Owner cash takeouts</t>
  </si>
  <si>
    <t>Dividends paid</t>
  </si>
  <si>
    <t>Capital stack net movement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</si>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</sst>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1:16" x14ac:dyDescent="0.25">
      <c r="A10" t="s">
        <v>17</v>
      </c>
      <c r="B10" s="17" t="s">
        <v>18</v>
      </c>
      <c r="C10" s="18" t="s">
        <v>19</v>
      </c>
      <c r="D10" s="19">
        <v>220000</v>
      </c>
      <c r="E10" s="19">
        <v>235000</v>
      </c>
      <c r="F10" s="19">
        <v>240000</v>
      </c>
      <c r="G10" s="19">
        <v>255000</v>
      </c>
      <c r="H10" s="19">
        <v>265000</v>
      </c>
      <c r="I10" s="19">
        <v>275000</v>
      </c>
      <c r="J10" s="19">
        <v>280000</v>
      </c>
      <c r="K10" s="19">
        <v>290000</v>
      </c>
      <c r="L10" s="19">
        <v>300000</v>
      </c>
      <c r="M10" s="19">
        <v>310000</v>
      </c>
      <c r="N10" s="19">
        <v>320000</v>
      </c>
      <c r="O10" s="19">
        <v>335000</v>
      </c>
      <c r="P10" s="20">
        <f>SUM(D10:O10)</f>
        <v>3325000</v>
      </c>
    </row>
    <row r="11" ht="20" customHeight="1" spans="1:16" x14ac:dyDescent="0.25">
      <c r="A11" t="s">
        <v>17</v>
      </c>
      <c r="B11" s="17" t="s">
        <v>20</v>
      </c>
      <c r="C11" s="18" t="s">
        <v>21</v>
      </c>
      <c r="D11" s="19">
        <v>4000</v>
      </c>
      <c r="E11" s="19">
        <v>3500</v>
      </c>
      <c r="F11" s="19">
        <v>4500</v>
      </c>
      <c r="G11" s="19">
        <v>3000</v>
      </c>
      <c r="H11" s="19">
        <v>4800</v>
      </c>
      <c r="I11" s="19">
        <v>4000</v>
      </c>
      <c r="J11" s="19">
        <v>5200</v>
      </c>
      <c r="K11" s="19">
        <v>4500</v>
      </c>
      <c r="L11" s="19">
        <v>4000</v>
      </c>
      <c r="M11" s="19">
        <v>5000</v>
      </c>
      <c r="N11" s="19">
        <v>5200</v>
      </c>
      <c r="O11" s="19">
        <v>6000</v>
      </c>
      <c r="P11" s="20">
        <f>SUM(D11:O11)</f>
        <v>53700</v>
      </c>
    </row>
    <row r="12" ht="20" customHeight="1" spans="1:16" x14ac:dyDescent="0.25">
      <c r="A12" t="s">
        <v>22</v>
      </c>
      <c r="B12" s="17" t="s">
        <v>23</v>
      </c>
      <c r="C12" s="18" t="s">
        <v>24</v>
      </c>
      <c r="D12" s="19">
        <v>-110000</v>
      </c>
      <c r="E12" s="19">
        <v>-118000</v>
      </c>
      <c r="F12" s="19">
        <v>-120000</v>
      </c>
      <c r="G12" s="19">
        <v>-126000</v>
      </c>
      <c r="H12" s="19">
        <v>-130000</v>
      </c>
      <c r="I12" s="19">
        <v>-134000</v>
      </c>
      <c r="J12" s="19">
        <v>-137000</v>
      </c>
      <c r="K12" s="19">
        <v>-141000</v>
      </c>
      <c r="L12" s="19">
        <v>-145000</v>
      </c>
      <c r="M12" s="19">
        <v>-149000</v>
      </c>
      <c r="N12" s="19">
        <v>-152000</v>
      </c>
      <c r="O12" s="19">
        <v>-158000</v>
      </c>
      <c r="P12" s="20">
        <f>SUM(D12:O12)</f>
        <v>-1620000</v>
      </c>
    </row>
    <row r="13" ht="20" customHeight="1" spans="1:16" x14ac:dyDescent="0.25">
      <c r="A13" t="s">
        <v>22</v>
      </c>
      <c r="B13" s="17" t="s">
        <v>25</v>
      </c>
      <c r="C13" s="18" t="s">
        <v>26</v>
      </c>
      <c r="D13" s="19">
        <v>-52000</v>
      </c>
      <c r="E13" s="19">
        <v>-52000</v>
      </c>
      <c r="F13" s="19">
        <v>-53000</v>
      </c>
      <c r="G13" s="19">
        <v>-53000</v>
      </c>
      <c r="H13" s="19">
        <v>-54000</v>
      </c>
      <c r="I13" s="19">
        <v>-54000</v>
      </c>
      <c r="J13" s="19">
        <v>-55000</v>
      </c>
      <c r="K13" s="19">
        <v>-55000</v>
      </c>
      <c r="L13" s="19">
        <v>-56000</v>
      </c>
      <c r="M13" s="19">
        <v>-56000</v>
      </c>
      <c r="N13" s="19">
        <v>-57000</v>
      </c>
      <c r="O13" s="19">
        <v>-58000</v>
      </c>
      <c r="P13" s="20">
        <f>SUM(D13:O13)</f>
        <v>-655000</v>
      </c>
    </row>
    <row r="14" ht="20" customHeight="1" spans="1:16" x14ac:dyDescent="0.25">
      <c r="A14" t="s">
        <v>22</v>
      </c>
      <c r="B14" s="17" t="s">
        <v>27</v>
      </c>
      <c r="C14" s="18" t="s">
        <v>28</v>
      </c>
      <c r="D14" s="19">
        <v>-9500</v>
      </c>
      <c r="E14" s="19">
        <v>-9500</v>
      </c>
      <c r="F14" s="19">
        <v>-9500</v>
      </c>
      <c r="G14" s="19">
        <v>-9500</v>
      </c>
      <c r="H14" s="19">
        <v>-9800</v>
      </c>
      <c r="I14" s="19">
        <v>-9800</v>
      </c>
      <c r="J14" s="19">
        <v>-9800</v>
      </c>
      <c r="K14" s="19">
        <v>-9800</v>
      </c>
      <c r="L14" s="19">
        <v>-10200</v>
      </c>
      <c r="M14" s="19">
        <v>-10200</v>
      </c>
      <c r="N14" s="19">
        <v>-10200</v>
      </c>
      <c r="O14" s="19">
        <v>-10200</v>
      </c>
      <c r="P14" s="20">
        <f>SUM(D14:O14)</f>
        <v>-118000</v>
      </c>
    </row>
    <row r="15" ht="20" customHeight="1" spans="1:16" x14ac:dyDescent="0.25">
      <c r="A15" t="s">
        <v>22</v>
      </c>
      <c r="B15" s="17" t="s">
        <v>29</v>
      </c>
      <c r="C15" s="18" t="s">
        <v>30</v>
      </c>
      <c r="D15" s="19">
        <v>-12000</v>
      </c>
      <c r="E15" s="19">
        <v>-13500</v>
      </c>
      <c r="F15" s="19">
        <v>-15000</v>
      </c>
      <c r="G15" s="19">
        <v>-14000</v>
      </c>
      <c r="H15" s="19">
        <v>-14500</v>
      </c>
      <c r="I15" s="19">
        <v>-15000</v>
      </c>
      <c r="J15" s="19">
        <v>-15500</v>
      </c>
      <c r="K15" s="19">
        <v>-16000</v>
      </c>
      <c r="L15" s="19">
        <v>-16500</v>
      </c>
      <c r="M15" s="19">
        <v>-17000</v>
      </c>
      <c r="N15" s="19">
        <v>-17500</v>
      </c>
      <c r="O15" s="19">
        <v>-18500</v>
      </c>
      <c r="P15" s="20">
        <f>SUM(D15:O15)</f>
        <v>-185000</v>
      </c>
    </row>
    <row r="16" ht="20" customHeight="1" spans="1:16" x14ac:dyDescent="0.25">
      <c r="A16" t="s">
        <v>22</v>
      </c>
      <c r="B16" s="17" t="s">
        <v>31</v>
      </c>
      <c r="C16" s="18" t="s">
        <v>32</v>
      </c>
      <c r="D16" s="19">
        <v>-8000</v>
      </c>
      <c r="E16" s="19">
        <v>-8200</v>
      </c>
      <c r="F16" s="19">
        <v>-8300</v>
      </c>
      <c r="G16" s="19">
        <v>-8400</v>
      </c>
      <c r="H16" s="19">
        <v>-8600</v>
      </c>
      <c r="I16" s="19">
        <v>-8700</v>
      </c>
      <c r="J16" s="19">
        <v>-8800</v>
      </c>
      <c r="K16" s="19">
        <v>-9000</v>
      </c>
      <c r="L16" s="19">
        <v>-9100</v>
      </c>
      <c r="M16" s="19">
        <v>-9300</v>
      </c>
      <c r="N16" s="19">
        <v>-9400</v>
      </c>
      <c r="O16" s="19">
        <v>-9500</v>
      </c>
      <c r="P16" s="20">
        <f>SUM(D16:O16)</f>
        <v>-105300</v>
      </c>
    </row>
    <row r="17" ht="20" customHeight="1" spans="1:16" x14ac:dyDescent="0.25">
      <c r="A17" t="s">
        <v>22</v>
      </c>
      <c r="B17" s="17" t="s">
        <v>33</v>
      </c>
      <c r="C17" s="18" t="s">
        <v>34</v>
      </c>
      <c r="D17" s="19">
        <v>0</v>
      </c>
      <c r="E17" s="19">
        <v>0</v>
      </c>
      <c r="F17" s="19">
        <v>-12000</v>
      </c>
      <c r="G17" s="19">
        <v>0</v>
      </c>
      <c r="H17" s="19">
        <v>0</v>
      </c>
      <c r="I17" s="19">
        <v>-14000</v>
      </c>
      <c r="J17" s="19">
        <v>0</v>
      </c>
      <c r="K17" s="19">
        <v>0</v>
      </c>
      <c r="L17" s="19">
        <v>-16000</v>
      </c>
      <c r="M17" s="19">
        <v>0</v>
      </c>
      <c r="N17" s="19">
        <v>0</v>
      </c>
      <c r="O17" s="19">
        <v>-18000</v>
      </c>
      <c r="P17" s="20">
        <f>SUM(D17:O17)</f>
        <v>-60000</v>
      </c>
    </row>
    <row r="18" ht="20" customHeight="1" spans="1:16" x14ac:dyDescent="0.25">
      <c r="A18" t="s">
        <v>22</v>
      </c>
      <c r="B18" s="21" t="s">
        <v>35</v>
      </c>
      <c r="C18" s="22" t="s">
        <v>36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1:16" x14ac:dyDescent="0.25">
      <c r="A19" t="s">
        <v>37</v>
      </c>
      <c r="B19" s="25" t="s">
        <v>38</v>
      </c>
      <c r="C19" s="18" t="s">
        <v>39</v>
      </c>
      <c r="D19" s="19">
        <v>-30000</v>
      </c>
      <c r="E19" s="19">
        <v>-18000</v>
      </c>
      <c r="F19" s="19">
        <v>-12000</v>
      </c>
      <c r="G19" s="19">
        <v>-40000</v>
      </c>
      <c r="H19" s="19">
        <v>-10000</v>
      </c>
      <c r="I19" s="19">
        <v>-15000</v>
      </c>
      <c r="J19" s="19">
        <v>-22000</v>
      </c>
      <c r="K19" s="19">
        <v>-12000</v>
      </c>
      <c r="L19" s="19">
        <v>-55000</v>
      </c>
      <c r="M19" s="19">
        <v>-9000</v>
      </c>
      <c r="N19" s="19">
        <v>-14000</v>
      </c>
      <c r="O19" s="19">
        <v>-28000</v>
      </c>
      <c r="P19" s="20">
        <f>SUM(D19:O19)</f>
        <v>-265000</v>
      </c>
    </row>
    <row r="20" ht="20" customHeight="1" spans="1:16" x14ac:dyDescent="0.25">
      <c r="A20" t="s">
        <v>37</v>
      </c>
      <c r="B20" s="25" t="s">
        <v>40</v>
      </c>
      <c r="C20" s="18" t="s">
        <v>41</v>
      </c>
      <c r="D20" s="19">
        <v>-8000</v>
      </c>
      <c r="E20" s="19">
        <v>-8000</v>
      </c>
      <c r="F20" s="19">
        <v>-8500</v>
      </c>
      <c r="G20" s="19">
        <v>-8500</v>
      </c>
      <c r="H20" s="19">
        <v>-9000</v>
      </c>
      <c r="I20" s="19">
        <v>-9000</v>
      </c>
      <c r="J20" s="19">
        <v>-9500</v>
      </c>
      <c r="K20" s="19">
        <v>-9500</v>
      </c>
      <c r="L20" s="19">
        <v>-10000</v>
      </c>
      <c r="M20" s="19">
        <v>-10000</v>
      </c>
      <c r="N20" s="19">
        <v>-10500</v>
      </c>
      <c r="O20" s="19">
        <v>-10500</v>
      </c>
      <c r="P20" s="20">
        <f>SUM(D20:O20)</f>
        <v>-111000</v>
      </c>
    </row>
    <row r="21" ht="20" customHeight="1" spans="1:16" x14ac:dyDescent="0.25">
      <c r="A21" t="s">
        <v>37</v>
      </c>
      <c r="B21" s="25" t="s">
        <v>42</v>
      </c>
      <c r="C21" s="18" t="s">
        <v>43</v>
      </c>
      <c r="D21" s="19">
        <v>0</v>
      </c>
      <c r="E21" s="19">
        <v>0</v>
      </c>
      <c r="F21" s="19">
        <v>0</v>
      </c>
      <c r="G21" s="19">
        <v>12000</v>
      </c>
      <c r="H21" s="19">
        <v>0</v>
      </c>
      <c r="I21" s="19">
        <v>0</v>
      </c>
      <c r="J21" s="19">
        <v>0</v>
      </c>
      <c r="K21" s="19">
        <v>15000</v>
      </c>
      <c r="L21" s="19">
        <v>0</v>
      </c>
      <c r="M21" s="19">
        <v>0</v>
      </c>
      <c r="N21" s="19">
        <v>0</v>
      </c>
      <c r="O21" s="19">
        <v>18000</v>
      </c>
      <c r="P21" s="20">
        <f>SUM(D21:O21)</f>
        <v>45000</v>
      </c>
    </row>
    <row r="22" ht="20" customHeight="1" spans="1:16" x14ac:dyDescent="0.25">
      <c r="A22" t="s">
        <v>37</v>
      </c>
      <c r="B22" s="21" t="s">
        <v>44</v>
      </c>
      <c r="C22" s="22" t="s">
        <v>45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1:16" x14ac:dyDescent="0.25">
      <c r="A23" t="s">
        <v>46</v>
      </c>
      <c r="B23" s="26" t="s">
        <v>47</v>
      </c>
      <c r="C23" s="18" t="s">
        <v>48</v>
      </c>
      <c r="D23" s="19">
        <v>0</v>
      </c>
      <c r="E23" s="19">
        <v>150000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120000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1:16" x14ac:dyDescent="0.25">
      <c r="A24" t="s">
        <v>46</v>
      </c>
      <c r="B24" s="26" t="s">
        <v>49</v>
      </c>
      <c r="C24" s="18" t="s">
        <v>50</v>
      </c>
      <c r="D24" s="19">
        <v>-10000</v>
      </c>
      <c r="E24" s="19">
        <v>-10000</v>
      </c>
      <c r="F24" s="19">
        <v>-10000</v>
      </c>
      <c r="G24" s="19">
        <v>-10000</v>
      </c>
      <c r="H24" s="19">
        <v>-10000</v>
      </c>
      <c r="I24" s="19">
        <v>-10000</v>
      </c>
      <c r="J24" s="19">
        <v>-12000</v>
      </c>
      <c r="K24" s="19">
        <v>-12000</v>
      </c>
      <c r="L24" s="19">
        <v>-12000</v>
      </c>
      <c r="M24" s="19">
        <v>-12000</v>
      </c>
      <c r="N24" s="19">
        <v>-12000</v>
      </c>
      <c r="O24" s="19">
        <v>-15000</v>
      </c>
      <c r="P24" s="20">
        <f>SUM(D24:O24)</f>
        <v>-135000</v>
      </c>
    </row>
    <row r="25" ht="20" customHeight="1" spans="1:16" x14ac:dyDescent="0.25">
      <c r="A25" t="s">
        <v>46</v>
      </c>
      <c r="B25" s="26" t="s">
        <v>51</v>
      </c>
      <c r="C25" s="18" t="s">
        <v>52</v>
      </c>
      <c r="D25" s="19">
        <v>-3000</v>
      </c>
      <c r="E25" s="19">
        <v>-3200</v>
      </c>
      <c r="F25" s="19">
        <v>-3200</v>
      </c>
      <c r="G25" s="19">
        <v>-3400</v>
      </c>
      <c r="H25" s="19">
        <v>-3400</v>
      </c>
      <c r="I25" s="19">
        <v>-3600</v>
      </c>
      <c r="J25" s="19">
        <v>-3600</v>
      </c>
      <c r="K25" s="19">
        <v>-3800</v>
      </c>
      <c r="L25" s="19">
        <v>-3800</v>
      </c>
      <c r="M25" s="19">
        <v>-4000</v>
      </c>
      <c r="N25" s="19">
        <v>-4000</v>
      </c>
      <c r="O25" s="19">
        <v>-4200</v>
      </c>
      <c r="P25" s="20">
        <f>SUM(D25:O25)</f>
        <v>-43200</v>
      </c>
    </row>
    <row r="26" ht="20" customHeight="1" spans="1:16" x14ac:dyDescent="0.25">
      <c r="A26" t="s">
        <v>46</v>
      </c>
      <c r="B26" s="26" t="s">
        <v>53</v>
      </c>
      <c r="C26" s="18" t="s">
        <v>54</v>
      </c>
      <c r="D26" s="19">
        <v>0</v>
      </c>
      <c r="E26" s="19">
        <v>0</v>
      </c>
      <c r="F26" s="19">
        <v>0</v>
      </c>
      <c r="G26" s="19">
        <v>0</v>
      </c>
      <c r="H26" s="19">
        <v>100000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1:16" x14ac:dyDescent="0.25">
      <c r="A27" t="s">
        <v>46</v>
      </c>
      <c r="B27" s="26" t="s">
        <v>55</v>
      </c>
      <c r="C27" s="18" t="s">
        <v>56</v>
      </c>
      <c r="D27" s="19">
        <v>0</v>
      </c>
      <c r="E27" s="19">
        <v>0</v>
      </c>
      <c r="F27" s="19">
        <v>0</v>
      </c>
      <c r="G27" s="19">
        <v>-20000</v>
      </c>
      <c r="H27" s="19">
        <v>0</v>
      </c>
      <c r="I27" s="19">
        <v>0</v>
      </c>
      <c r="J27" s="19">
        <v>0</v>
      </c>
      <c r="K27" s="19">
        <v>-25000</v>
      </c>
      <c r="L27" s="19">
        <v>0</v>
      </c>
      <c r="M27" s="19">
        <v>0</v>
      </c>
      <c r="N27" s="19">
        <v>0</v>
      </c>
      <c r="O27" s="19">
        <v>-30000</v>
      </c>
      <c r="P27" s="20">
        <f>SUM(D27:O27)</f>
        <v>-75000</v>
      </c>
    </row>
    <row r="28" ht="20" customHeight="1" spans="1:16" x14ac:dyDescent="0.25">
      <c r="A28" t="s">
        <v>46</v>
      </c>
      <c r="B28" s="21" t="s">
        <v>57</v>
      </c>
      <c r="C28" s="22" t="s">
        <v>58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59</v>
      </c>
      <c r="C29" s="22" t="s">
        <v>60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59</v>
      </c>
      <c r="C30" s="22" t="s">
        <v>61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59</v>
      </c>
      <c r="C31" s="28" t="s">
        <v>62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59</v>
      </c>
      <c r="C32" s="22" t="s">
        <v>63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2026-05-11T17:33:38Z</dcterms:created>
  <dcterms:modified xsi:type="dcterms:W3CDTF">2026-05-11T17:33:38Z</dcterms:modified>
</cp:coreProperties>
</file>