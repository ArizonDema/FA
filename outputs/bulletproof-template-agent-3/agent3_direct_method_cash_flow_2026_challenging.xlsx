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rect CF 2026" sheetId="1" r:id="rId1"/>
  </sheets>
  <calcPr calcId="191029" fullCalcOnLoad="1" forceFullCalc="1"/>
</workbook>
</file>

<file path=xl/styles.xml><?xml version="1.0" encoding="UTF-8" standalone="yes"?>
<styleSheet xmlns="http://schemas.openxmlformats.org/spreadsheetml/2006/main">
 <numFmts count="1"><numFmt numFmtId="164" formatCode="#,##0;[Red](#,##0);-"/></numFmts>
 <fonts count="5">
  <font><sz val="11"/><name val="Calibri"/></font>
  <font><b/><sz val="14"/><color rgb="FFFFFFFF"/><name val="Calibri"/></font>
  <font><i/><color rgb="FF4B5563"/><name val="Calibri"/></font>
  <font><b/><color rgb="FFFFFFFF"/><name val="Calibri"/></font>
  <font><b/><name val="Calibri"/></font>
 </fonts>
 <fills count="7">
  <fill><patternFill patternType="none"/></fill>
  <fill><patternFill patternType="gray125"/></fill>
  <fill><patternFill patternType="solid"><fgColor rgb="FF135C62"/></patternFill></fill>
  <fill><patternFill patternType="solid"><fgColor rgb="FFF4F6F8"/></patternFill></fill>
  <fill><patternFill patternType="solid"><fgColor rgb="FF556070"/></patternFill></fill>
  <fill><patternFill patternType="solid"><fgColor rgb="FF28313B"/></patternFill></fill>
  <fill><patternFill patternType="solid"><fgColor rgb="FFFFF7DC"/></patternFill></fill>
 </fills>
 <borders count="3">
  <border><left/><right/><top/><bottom/><diagonal/></border>
  <border><left/><right/><top/><bottom style="thin"><color rgb="FFD9DEE7"/></bottom/><diagonal/></border>
  <border><left/><right/><top style="medium"><color rgb="FF455060"/></top><bottom style="medium"><color rgb="FF455060"/></bottom><diagonal/></border>
 </borders>
 <cellStyleXfs count="1"><xf numFmtId="0" fontId="0" fillId="0" borderId="0"/></cellStyleXfs>
 <cellXfs count="8">
  <xf numFmtId="0" fontId="0" fillId="0" borderId="1" xfId="0"/>
  <xf numFmtId="0" fontId="1" fillId="2" borderId="1" xfId="0" applyFont="1" applyFill="1"/>
  <xf numFmtId="0" fontId="2" fillId="3" borderId="1" xfId="0" applyFont="1" applyFill="1"/>
  <xf numFmtId="0" fontId="3" fillId="4" borderId="1" xfId="0" applyFont="1" applyFill="1" applyAlignment="1"><alignment horizontal="center"/></xf>
  <xf numFmtId="0" fontId="3" fillId="5" borderId="2" xfId="0" applyFont="1" applyFill="1"/>
  <xf numFmtId="164" fontId="0" fillId="6" borderId="1" xfId="0" applyNumberFormat="1" applyFill="1"/>
  <xf numFmtId="164" fontId="4" fillId="3" borderId="1" xfId="0" applyNumberFormat="1" applyFont="1" applyFill="1"/>
  <xf numFmtId="164" fontId="4" fillId="3" borderId="2" xfId="0" applyNumberFormat="1" applyFont="1" applyFill="1"/>
 </cellXfs>
 <cellStyles count="1"><cellStyle name="Normal" xfId="0" builtinId="0"/>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4" topLeftCell="B5" activePane="bottomRight" state="frozen"/>
    </sheetView>
  </sheetViews>
  <sheetFormatPr defaultRowHeight="18"/>
  <cols>
    <col min="1" max="1" width="48" customWidth="1"/>
    <col min="2" max="13" width="13" customWidth="1"/>
    <col min="14" max="14" width="14" customWidth="1"/>
  </cols>
  <sheetData>
    <row r="1">
      <c r="A1" t="inlineStr" s="1">
        <is>
          <t>Cash Movement Ledger - direct method stress template</t>
        </is>
      </c>
    </row>
    <row r="2">
      <c r="A2" t="inlineStr" s="2">
        <is>
          <t>Writable monthly cells are intentionally blank or zero; formula rows carry subtotals and balances.</t>
        </is>
      </c>
    </row>
    <row r="4">
      <c r="A4" t="inlineStr" s="3">
        <is>
          <t>Line item</t>
        </is>
      </c>
      <c r="B4" t="inlineStr" s="3">
        <is>
          <t>Jan 2026</t>
        </is>
      </c>
      <c r="C4" t="inlineStr" s="3">
        <is>
          <t>Feb 2026</t>
        </is>
      </c>
      <c r="D4" t="inlineStr" s="3">
        <is>
          <t>Mar 2026</t>
        </is>
      </c>
      <c r="E4" t="inlineStr" s="3">
        <is>
          <t>Apr 2026</t>
        </is>
      </c>
      <c r="F4" t="inlineStr" s="3">
        <is>
          <t>May 2026</t>
        </is>
      </c>
      <c r="G4" t="inlineStr" s="3">
        <is>
          <t>Jun 2026</t>
        </is>
      </c>
      <c r="H4" t="inlineStr" s="3">
        <is>
          <t>Jul 2026</t>
        </is>
      </c>
      <c r="I4" t="inlineStr" s="3">
        <is>
          <t>Aug 2026</t>
        </is>
      </c>
      <c r="J4" t="inlineStr" s="3">
        <is>
          <t>Sep 2026</t>
        </is>
      </c>
      <c r="K4" t="inlineStr" s="3">
        <is>
          <t>Oct 2026</t>
        </is>
      </c>
      <c r="L4" t="inlineStr" s="3">
        <is>
          <t>Nov 2026</t>
        </is>
      </c>
      <c r="M4" t="inlineStr" s="3">
        <is>
          <t>Dec 2026</t>
        </is>
      </c>
      <c r="N4" t="inlineStr" s="3">
        <is>
          <t>Full year</t>
        </is>
      </c>
    </row>
    <row r="5">
      <c r="A5" t="inlineStr" s="7">
        <is>
          <t>Vault balance brought forward</t>
        </is>
      </c>
      <c r="B5" s="7">
        <v>0</v>
      </c>
      <c r="C5" s="7">
        <f>B44</f>
        <v>0</v>
      </c>
      <c r="D5" s="7">
        <f>C44</f>
        <v>0</v>
      </c>
      <c r="E5" s="7">
        <f>D44</f>
        <v>0</v>
      </c>
      <c r="F5" s="7">
        <f>E44</f>
        <v>0</v>
      </c>
      <c r="G5" s="7">
        <f>F44</f>
        <v>0</v>
      </c>
      <c r="H5" s="7">
        <f>G44</f>
        <v>0</v>
      </c>
      <c r="I5" s="7">
        <f>H44</f>
        <v>0</v>
      </c>
      <c r="J5" s="7">
        <f>I44</f>
        <v>0</v>
      </c>
      <c r="K5" s="7">
        <f>J44</f>
        <v>0</v>
      </c>
      <c r="L5" s="7">
        <f>K44</f>
        <v>0</v>
      </c>
      <c r="M5" s="7">
        <f>L44</f>
        <v>0</v>
      </c>
      <c r="N5" s="7">
        <f>B5</f>
        <v>0</v>
      </c>
    </row>
    <row r="6"/>
    <row r="7">
      <c r="A7" t="inlineStr" s="4">
        <is>
          <t>Operating inflows - collections and recoveries</t>
        </is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t="inlineStr" s="5">
        <is>
          <t>Till sweeps from fulfilled invoice batches</t>
        </is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f>SUM(B8:M8)</f>
        <v>0</v>
      </c>
    </row>
    <row r="9">
      <c r="A9" t="inlineStr" s="5">
        <is>
          <t>Counterparty advance burn-offs collected in cash</t>
        </is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f>SUM(B9:M9)</f>
        <v>0</v>
      </c>
    </row>
    <row r="10">
      <c r="A10" t="inlineStr" s="5">
        <is>
          <t>Channel settlement drips after platform holdbacks</t>
        </is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f>SUM(B10:M10)</f>
        <v>0</v>
      </c>
    </row>
    <row r="11">
      <c r="A11" t="inlineStr" s="5">
        <is>
          <t>Service-retainer refreshes banked this month</t>
        </is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f>SUM(B11:M11)</f>
        <v>0</v>
      </c>
    </row>
    <row r="12">
      <c r="A12" t="inlineStr" s="5">
        <is>
          <t>Rebates, claims and warranty escrow refunds</t>
        </is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f>SUM(B12:M12)</f>
        <v>0</v>
      </c>
    </row>
    <row r="13">
      <c r="A13" t="inlineStr" s="5">
        <is>
          <t>Miscellaneous operating coin-in</t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f>SUM(B13:M13)</f>
        <v>0</v>
      </c>
    </row>
    <row r="14">
      <c r="A14" t="inlineStr" s="6">
        <is>
          <t>Operating inflow subtotal</t>
        </is>
      </c>
      <c r="B14" s="6">
        <f>SUM(B8:B13)</f>
        <v>0</v>
      </c>
      <c r="C14" s="6">
        <f>SUM(C8:C13)</f>
        <v>0</v>
      </c>
      <c r="D14" s="6">
        <f>SUM(D8:D13)</f>
        <v>0</v>
      </c>
      <c r="E14" s="6">
        <f>SUM(E8:E13)</f>
        <v>0</v>
      </c>
      <c r="F14" s="6">
        <f>SUM(F8:F13)</f>
        <v>0</v>
      </c>
      <c r="G14" s="6">
        <f>SUM(G8:G13)</f>
        <v>0</v>
      </c>
      <c r="H14" s="6">
        <f>SUM(H8:H13)</f>
        <v>0</v>
      </c>
      <c r="I14" s="6">
        <f>SUM(I8:I13)</f>
        <v>0</v>
      </c>
      <c r="J14" s="6">
        <f>SUM(J8:J13)</f>
        <v>0</v>
      </c>
      <c r="K14" s="6">
        <f>SUM(K8:K13)</f>
        <v>0</v>
      </c>
      <c r="L14" s="6">
        <f>SUM(L8:L13)</f>
        <v>0</v>
      </c>
      <c r="M14" s="6">
        <f>SUM(M8:M13)</f>
        <v>0</v>
      </c>
      <c r="N14" s="6">
        <f>SUM(B14:M14)</f>
        <v>0</v>
      </c>
    </row>
    <row r="15"/>
    <row r="16">
      <c r="A16" t="inlineStr" s="4">
        <is>
          <t>Operating outflows - settlement, people and overhead</t>
        </is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t="inlineStr" s="5">
        <is>
          <t>Supplier pouch settlements for stocked goods</t>
        </is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f>SUM(B17:M17)</f>
        <v>0</v>
      </c>
    </row>
    <row r="18">
      <c r="A18" t="inlineStr" s="5">
        <is>
          <t>Crew stipends and shift settlement runs</t>
        </is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f>SUM(B18:M18)</f>
        <v>0</v>
      </c>
    </row>
    <row r="19">
      <c r="A19" t="inlineStr" s="5">
        <is>
          <t>Premises access retainers and service charges</t>
        </is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f>SUM(B19:M19)</f>
        <v>0</v>
      </c>
    </row>
    <row r="20">
      <c r="A20" t="inlineStr" s="5">
        <is>
          <t>Carrier tolls, fulfilment lanes and customs floats</t>
        </is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f>SUM(B20:M20)</f>
        <v>0</v>
      </c>
    </row>
    <row r="21">
      <c r="A21" t="inlineStr" s="5">
        <is>
          <t>Software meters, data rooms and outsourced desks</t>
        </is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f>SUM(B21:M21)</f>
        <v>0</v>
      </c>
    </row>
    <row r="22">
      <c r="A22" t="inlineStr" s="5">
        <is>
          <t>Tax set-asides released to authorities</t>
        </is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f>SUM(B22:M22)</f>
        <v>0</v>
      </c>
    </row>
    <row r="23">
      <c r="A23" t="inlineStr" s="5">
        <is>
          <t>Customer appeasements and credit make-good cash</t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f>SUM(B23:M23)</f>
        <v>0</v>
      </c>
    </row>
    <row r="24">
      <c r="A24" t="inlineStr" s="6">
        <is>
          <t>Operating outflow subtotal</t>
        </is>
      </c>
      <c r="B24" s="6">
        <f>SUM(B17:B23)</f>
        <v>0</v>
      </c>
      <c r="C24" s="6">
        <f>SUM(C17:C23)</f>
        <v>0</v>
      </c>
      <c r="D24" s="6">
        <f>SUM(D17:D23)</f>
        <v>0</v>
      </c>
      <c r="E24" s="6">
        <f>SUM(E17:E23)</f>
        <v>0</v>
      </c>
      <c r="F24" s="6">
        <f>SUM(F17:F23)</f>
        <v>0</v>
      </c>
      <c r="G24" s="6">
        <f>SUM(G17:G23)</f>
        <v>0</v>
      </c>
      <c r="H24" s="6">
        <f>SUM(H17:H23)</f>
        <v>0</v>
      </c>
      <c r="I24" s="6">
        <f>SUM(I17:I23)</f>
        <v>0</v>
      </c>
      <c r="J24" s="6">
        <f>SUM(J17:J23)</f>
        <v>0</v>
      </c>
      <c r="K24" s="6">
        <f>SUM(K17:K23)</f>
        <v>0</v>
      </c>
      <c r="L24" s="6">
        <f>SUM(L17:L23)</f>
        <v>0</v>
      </c>
      <c r="M24" s="6">
        <f>SUM(M17:M23)</f>
        <v>0</v>
      </c>
      <c r="N24" s="6">
        <f>SUM(B24:M24)</f>
        <v>0</v>
      </c>
    </row>
    <row r="25">
      <c r="A25" t="inlineStr" s="6">
        <is>
          <t>Net operating cash churn</t>
        </is>
      </c>
      <c r="B25" s="6">
        <f>B14-B24</f>
        <v>0</v>
      </c>
      <c r="C25" s="6">
        <f>C14-C24</f>
        <v>0</v>
      </c>
      <c r="D25" s="6">
        <f>D14-D24</f>
        <v>0</v>
      </c>
      <c r="E25" s="6">
        <f>E14-E24</f>
        <v>0</v>
      </c>
      <c r="F25" s="6">
        <f>F14-F24</f>
        <v>0</v>
      </c>
      <c r="G25" s="6">
        <f>G14-G24</f>
        <v>0</v>
      </c>
      <c r="H25" s="6">
        <f>H14-H24</f>
        <v>0</v>
      </c>
      <c r="I25" s="6">
        <f>I14-I24</f>
        <v>0</v>
      </c>
      <c r="J25" s="6">
        <f>J14-J24</f>
        <v>0</v>
      </c>
      <c r="K25" s="6">
        <f>K14-K24</f>
        <v>0</v>
      </c>
      <c r="L25" s="6">
        <f>L14-L24</f>
        <v>0</v>
      </c>
      <c r="M25" s="6">
        <f>M14-M24</f>
        <v>0</v>
      </c>
      <c r="N25" s="6">
        <f>SUM(B25:M25)</f>
        <v>0</v>
      </c>
    </row>
    <row r="26"/>
    <row r="27">
      <c r="A27" t="inlineStr" s="4">
        <is>
          <t>Long-cycle asset movements</t>
        </is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>
      <c r="A28" t="inlineStr" s="5">
        <is>
          <t>Workshop build-out retainage paid</t>
        </is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f>SUM(B28:M28)</f>
        <v>0</v>
      </c>
    </row>
    <row r="29">
      <c r="A29" t="inlineStr" s="5">
        <is>
          <t>Long-life equipment deposits and installation bites</t>
        </is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f>SUM(B29:M29)</f>
        <v>0</v>
      </c>
    </row>
    <row r="30">
      <c r="A30" t="inlineStr" s="5">
        <is>
          <t>Insurance salvage and asset retirement recoveries</t>
        </is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f>SUM(B30:M30)</f>
        <v>0</v>
      </c>
    </row>
    <row r="31">
      <c r="A31" t="inlineStr" s="6">
        <is>
          <t>Net long-cycle asset movement</t>
        </is>
      </c>
      <c r="B31" s="6">
        <f>B30-B28-B29</f>
        <v>0</v>
      </c>
      <c r="C31" s="6">
        <f>C30-C28-C29</f>
        <v>0</v>
      </c>
      <c r="D31" s="6">
        <f>D30-D28-D29</f>
        <v>0</v>
      </c>
      <c r="E31" s="6">
        <f>E30-E28-E29</f>
        <v>0</v>
      </c>
      <c r="F31" s="6">
        <f>F30-F28-F29</f>
        <v>0</v>
      </c>
      <c r="G31" s="6">
        <f>G30-G28-G29</f>
        <v>0</v>
      </c>
      <c r="H31" s="6">
        <f>H30-H28-H29</f>
        <v>0</v>
      </c>
      <c r="I31" s="6">
        <f>I30-I28-I29</f>
        <v>0</v>
      </c>
      <c r="J31" s="6">
        <f>J30-J28-J29</f>
        <v>0</v>
      </c>
      <c r="K31" s="6">
        <f>K30-K28-K29</f>
        <v>0</v>
      </c>
      <c r="L31" s="6">
        <f>L30-L28-L29</f>
        <v>0</v>
      </c>
      <c r="M31" s="6">
        <f>M30-M28-M29</f>
        <v>0</v>
      </c>
      <c r="N31" s="6">
        <f>SUM(B31:M31)</f>
        <v>0</v>
      </c>
    </row>
    <row r="32"/>
    <row r="33">
      <c r="A33" t="inlineStr" s="4">
        <is>
          <t>Capital stack movements</t>
        </is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t="inlineStr" s="5">
        <is>
          <t>Bank note draw packets landing in account</t>
        </is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f>SUM(B34:M34)</f>
        <v>0</v>
      </c>
    </row>
    <row r="35">
      <c r="A35" t="inlineStr" s="5">
        <is>
          <t>Scheduled lender sweeps and fee skims</t>
        </is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f>SUM(B35:M35)</f>
        <v>0</v>
      </c>
    </row>
    <row r="36">
      <c r="A36" t="inlineStr" s="5">
        <is>
          <t>Partner top-ups wired into treasury</t>
        </is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f>SUM(B36:M36)</f>
        <v>0</v>
      </c>
    </row>
    <row r="37">
      <c r="A37" t="inlineStr" s="5">
        <is>
          <t>Member cash drawings and tax cover remittances</t>
        </is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f>SUM(B37:M37)</f>
        <v>0</v>
      </c>
    </row>
    <row r="38">
      <c r="A38" t="inlineStr" s="5">
        <is>
          <t>Quiet reserve release or parking</t>
        </is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f>SUM(B38:M38)</f>
        <v>0</v>
      </c>
    </row>
    <row r="39">
      <c r="A39" t="inlineStr" s="6">
        <is>
          <t>Net capital stack movement</t>
        </is>
      </c>
      <c r="B39" s="6">
        <f>B34-B35+B36-B37+B38</f>
        <v>0</v>
      </c>
      <c r="C39" s="6">
        <f>C34-C35+C36-C37+C38</f>
        <v>0</v>
      </c>
      <c r="D39" s="6">
        <f>D34-D35+D36-D37+D38</f>
        <v>0</v>
      </c>
      <c r="E39" s="6">
        <f>E34-E35+E36-E37+E38</f>
        <v>0</v>
      </c>
      <c r="F39" s="6">
        <f>F34-F35+F36-F37+F38</f>
        <v>0</v>
      </c>
      <c r="G39" s="6">
        <f>G34-G35+G36-G37+G38</f>
        <v>0</v>
      </c>
      <c r="H39" s="6">
        <f>H34-H35+H36-H37+H38</f>
        <v>0</v>
      </c>
      <c r="I39" s="6">
        <f>I34-I35+I36-I37+I38</f>
        <v>0</v>
      </c>
      <c r="J39" s="6">
        <f>J34-J35+J36-J37+J38</f>
        <v>0</v>
      </c>
      <c r="K39" s="6">
        <f>K34-K35+K36-K37+K38</f>
        <v>0</v>
      </c>
      <c r="L39" s="6">
        <f>L34-L35+L36-L37+L38</f>
        <v>0</v>
      </c>
      <c r="M39" s="6">
        <f>M34-M35+M36-M37+M38</f>
        <v>0</v>
      </c>
      <c r="N39" s="6">
        <f>SUM(B39:M39)</f>
        <v>0</v>
      </c>
    </row>
    <row r="40"/>
    <row r="41">
      <c r="A41" t="inlineStr" s="6">
        <is>
          <t>Net cash drift before rounding</t>
        </is>
      </c>
      <c r="B41" s="6">
        <f>B25+B31+B39</f>
        <v>0</v>
      </c>
      <c r="C41" s="6">
        <f>C25+C31+C39</f>
        <v>0</v>
      </c>
      <c r="D41" s="6">
        <f>D25+D31+D39</f>
        <v>0</v>
      </c>
      <c r="E41" s="6">
        <f>E25+E31+E39</f>
        <v>0</v>
      </c>
      <c r="F41" s="6">
        <f>F25+F31+F39</f>
        <v>0</v>
      </c>
      <c r="G41" s="6">
        <f>G25+G31+G39</f>
        <v>0</v>
      </c>
      <c r="H41" s="6">
        <f>H25+H31+H39</f>
        <v>0</v>
      </c>
      <c r="I41" s="6">
        <f>I25+I31+I39</f>
        <v>0</v>
      </c>
      <c r="J41" s="6">
        <f>J25+J31+J39</f>
        <v>0</v>
      </c>
      <c r="K41" s="6">
        <f>K25+K31+K39</f>
        <v>0</v>
      </c>
      <c r="L41" s="6">
        <f>L25+L31+L39</f>
        <v>0</v>
      </c>
      <c r="M41" s="6">
        <f>M25+M31+M39</f>
        <v>0</v>
      </c>
      <c r="N41" s="6">
        <f>SUM(B41:M41)</f>
        <v>0</v>
      </c>
    </row>
    <row r="42">
      <c r="A42" t="inlineStr" s="5">
        <is>
          <t>Bank cut-off, FX dust and penny-rounding plug</t>
        </is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f>SUM(B42:M42)</f>
        <v>0</v>
      </c>
    </row>
    <row r="43">
      <c r="A43" t="inlineStr" s="6">
        <is>
          <t>Net movement posted to vault</t>
        </is>
      </c>
      <c r="B43" s="6">
        <f>B41+B42</f>
        <v>0</v>
      </c>
      <c r="C43" s="6">
        <f>C41+C42</f>
        <v>0</v>
      </c>
      <c r="D43" s="6">
        <f>D41+D42</f>
        <v>0</v>
      </c>
      <c r="E43" s="6">
        <f>E41+E42</f>
        <v>0</v>
      </c>
      <c r="F43" s="6">
        <f>F41+F42</f>
        <v>0</v>
      </c>
      <c r="G43" s="6">
        <f>G41+G42</f>
        <v>0</v>
      </c>
      <c r="H43" s="6">
        <f>H41+H42</f>
        <v>0</v>
      </c>
      <c r="I43" s="6">
        <f>I41+I42</f>
        <v>0</v>
      </c>
      <c r="J43" s="6">
        <f>J41+J42</f>
        <v>0</v>
      </c>
      <c r="K43" s="6">
        <f>K41+K42</f>
        <v>0</v>
      </c>
      <c r="L43" s="6">
        <f>L41+L42</f>
        <v>0</v>
      </c>
      <c r="M43" s="6">
        <f>M41+M42</f>
        <v>0</v>
      </c>
      <c r="N43" s="6">
        <f>SUM(B43:M43)</f>
        <v>0</v>
      </c>
    </row>
    <row r="44">
      <c r="A44" t="inlineStr" s="7">
        <is>
          <t>Vault balance carried forward</t>
        </is>
      </c>
      <c r="B44" s="7">
        <f>B5+B43</f>
        <v>0</v>
      </c>
      <c r="C44" s="7">
        <f>C5+C43</f>
        <v>0</v>
      </c>
      <c r="D44" s="7">
        <f>D5+D43</f>
        <v>0</v>
      </c>
      <c r="E44" s="7">
        <f>E5+E43</f>
        <v>0</v>
      </c>
      <c r="F44" s="7">
        <f>F5+F43</f>
        <v>0</v>
      </c>
      <c r="G44" s="7">
        <f>G5+G43</f>
        <v>0</v>
      </c>
      <c r="H44" s="7">
        <f>H5+H43</f>
        <v>0</v>
      </c>
      <c r="I44" s="7">
        <f>I5+I43</f>
        <v>0</v>
      </c>
      <c r="J44" s="7">
        <f>J5+J43</f>
        <v>0</v>
      </c>
      <c r="K44" s="7">
        <f>K5+K43</f>
        <v>0</v>
      </c>
      <c r="L44" s="7">
        <f>L5+L43</f>
        <v>0</v>
      </c>
      <c r="M44" s="7">
        <f>M5+M43</f>
        <v>0</v>
      </c>
      <c r="N44" s="7">
        <f>M44</f>
        <v>0</v>
      </c>
    </row>
    <row r="45"/>
    <row r="46">
      <c r="A46" t="inlineStr" s="4">
        <is>
          <t>Analyzer traps - writable rows intentionally sparse</t>
        </is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A47" t="inlineStr" s="5">
        <is>
          <t>Undesignated receipt lane A</t>
        </is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f>SUM(B47:M47)</f>
        <v>0</v>
      </c>
    </row>
    <row r="48">
      <c r="A48" t="inlineStr" s="5">
        <is>
          <t>Undesignated payment lane B</t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f>SUM(B48:M48)</f>
        <v>0</v>
      </c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Direct-method cash-flow analyzer stress template</dc:title>
  <dc:creator>Codex</dc:creator>
</cp:coreProperties>
</file>