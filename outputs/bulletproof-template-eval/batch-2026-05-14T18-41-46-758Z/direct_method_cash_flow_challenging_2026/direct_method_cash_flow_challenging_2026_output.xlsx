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 2026" state="visible" r:id="rId4"/>
    <sheet sheetId="2" name="Row meanings" state="visible" r:id="rId5"/>
  </sheets>
  <calcPr calcId="171027" fullCalcOnLoad="1"/>
</workbook>
</file>

<file path=xl/sharedStrings.xml><?xml version="1.0" encoding="utf-8"?>
<sst xmlns="http://schemas.openxmlformats.org/spreadsheetml/2006/main" count="135" uniqueCount="71">
  <si>
    <t>Direct Method Cash Flow Template - 2026 Monthly</t>
  </si>
  <si>
    <t>Yellow cells are writable test inputs; gray cells are formulas. Positive amounts are cash inflows; payment rows are entered as positive cash paid amounts.</t>
  </si>
  <si>
    <t>Line</t>
  </si>
  <si>
    <t>Row type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</si>
  <si>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</si>
  <si>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</si>
  <si>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</si>
  <si>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</si>
  <si>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</si>
  <si>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</si>
  <si>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</si>
  <si>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</si>
  <si>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</si>
  <si>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</si>
  <si>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</si>
  <si>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</si>
  <si>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FY 2026</t>
  </si>
  <si>
    <t>Opening cash on hand and at bank</t>
  </si>
  <si>
    <t>Calculated</t>
  </si>
  <si>
    <t>Receipts: settlement-lagged trade takings</t>
  </si>
  <si>
    <t>Writable input</t>
  </si>
  <si>
    <t>Receipts: retainer drawdowns released</t>
  </si>
  <si>
    <t>Receipts: merchant service rebates cleared</t>
  </si>
  <si>
    <t>Receipts: insurance recovery cash</t>
  </si>
  <si>
    <t>Operating cash gathered</t>
  </si>
  <si>
    <t>Payments: rostered crew disbursements</t>
  </si>
  <si>
    <t>Payments: premises and yard occupancy</t>
  </si>
  <si>
    <t>Payments: utility and connectivity clearings</t>
  </si>
  <si>
    <t>Payments: stock replenishment wires</t>
  </si>
  <si>
    <t>Payments: freight, duties, and landing charges</t>
  </si>
  <si>
    <t>Payments: tax authority sweeps</t>
  </si>
  <si>
    <t>Payments: claims, refunds, and make-good credits</t>
  </si>
  <si>
    <t>Payments: professional bench and licenses</t>
  </si>
  <si>
    <t>Operating cash applied</t>
  </si>
  <si>
    <t>Net cash from day-to-day trading</t>
  </si>
  <si>
    <t>Equipment refresh and fit-out checks</t>
  </si>
  <si>
    <t>Proceeds from retired kit and fixtures</t>
  </si>
  <si>
    <t>Investment in pledged term deposits</t>
  </si>
  <si>
    <t>Release of pledged term deposits</t>
  </si>
  <si>
    <t>Net cash from asset and reserve moves</t>
  </si>
  <si>
    <t>Borrowing draws booked at treasury</t>
  </si>
  <si>
    <t>Lender principal retirements</t>
  </si>
  <si>
    <t>Member capital subscriptions banked</t>
  </si>
  <si>
    <t>Partner preference redemptions paid</t>
  </si>
  <si>
    <t>Net cash from funding bench</t>
  </si>
  <si>
    <t>Bank fees, rounding, and timing wash</t>
  </si>
  <si>
    <t>Total period cash movement</t>
  </si>
  <si>
    <t>Closing cash on hand and at bank</t>
  </si>
  <si>
    <t>Plain-English meaning</t>
  </si>
  <si>
    <t>Calculated subtotal, net movement, opening balance, or closing balance derived from other rows.</t>
  </si>
  <si>
    <t>Cash collected from customers or platforms after timing delays.</t>
  </si>
  <si>
    <t>Cash released from customer retainers, deposits, or prepayments as work is delivered.</t>
  </si>
  <si>
    <t>Cash rebates, incentives, or fee refunds received from payment processors or service providers.</t>
  </si>
  <si>
    <t>Cash received from insurance claims or similar recoveries.</t>
  </si>
  <si>
    <t>Cash paid to employees, contractors, or shift-based labor pools.</t>
  </si>
  <si>
    <t>Cash paid for offices, storage yards, warehouses, or other occupied space.</t>
  </si>
  <si>
    <t>Cash paid for power, water, telecom, internet, and similar services.</t>
  </si>
  <si>
    <t>Cash paid to replenish merchandise, raw materials, or operating supplies.</t>
  </si>
  <si>
    <t>Cash paid to move goods and clear them through shipping or customs processes.</t>
  </si>
  <si>
    <t>Cash paid for sales tax, VAT, payroll tax, income tax, and similar remittances.</t>
  </si>
  <si>
    <t>Cash paid back to customers or counterparties for returns, claims, credits, or service failures.</t>
  </si>
  <si>
    <t>Cash paid for advisors, software subscriptions, permits, memberships, and operating licenses.</t>
  </si>
  <si>
    <t>Cash spent on durable tools, equipment, facility improvements, or technology build-outs.</t>
  </si>
  <si>
    <t>Cash received from selling used equipment, fixtures, vehicles, or other long-lived items.</t>
  </si>
  <si>
    <t>Cash placed into restricted or pledged deposits that cannot be used freely.</t>
  </si>
  <si>
    <t>Cash released back from restricted or pledged deposits.</t>
  </si>
  <si>
    <t>Cash received from new borrowing facilities or drawdowns.</t>
  </si>
  <si>
    <t>Cash paid to reduce loan principal or similar borrowing balances.</t>
  </si>
  <si>
    <t>Cash contributed by owners, members, shareholders, or partners.</t>
  </si>
  <si>
    <t>Cash paid to redeem or return capital interests to owners or investors.</t>
  </si>
  <si>
    <t>Small cash differences caused by bank charges, rounding, foreign exchange, or timing corrections.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</si>
</sst>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  <name val="Aptos Display"/>
    </font>
    <font>
      <sz val="10"/>
      <name val="Aptos"/>
    </font>
    <font>
      <b/>
      <color rgb="FFFFFFFF"/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CFDF5"/>
      </patternFill>
    </fill>
    <fill>
      <patternFill patternType="solid">
        <fgColor rgb="FFF3F4F6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2" fillId="4" borderId="1" xfId="0" applyFont="1" applyFill="1" applyBorder="1" applyAlignment="1">
      <alignment wrapText="1"/>
    </xf>
    <xf numFmtId="3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wrapText="1"/>
    </xf>
    <xf numFmtId="3" fontId="2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 showGridLines="0" zoomScale="100" zoomScaleNormal="100">
      <pane xSplit="2" ySplit="6" topLeftCell="C7" activePane="bottomRight" state="frozen"/>
      <selection pane="bottomRight"/>
    </sheetView>
  </sheetViews>
  <sheetFormatPr customHeight="1"/>
  <cols>
    <col min="1" max="1" width="42" customWidth="1"/>
    <col min="2" max="2" width="16" customWidth="1"/>
    <col min="3" max="15" width="12" customWidth="1"/>
  </cols>
  <sheetData>
    <row r="1" ht="28" customHeight="1" spans="1:15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ht="32" customHeight="1" spans="1:15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</row>
    <row r="4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A5" s="4" t="s">
        <v>17</v>
      </c>
      <c r="B5" s="4" t="s">
        <v>18</v>
      </c>
      <c r="C5" s="5">
        <v>0</v>
      </c>
      <c r="D5" s="5">
        <f>C33</f>
        <v>0</v>
      </c>
      <c r="E5" s="5">
        <f>D33</f>
        <v>0</v>
      </c>
      <c r="F5" s="5">
        <f>E33</f>
        <v>0</v>
      </c>
      <c r="G5" s="5">
        <f>F33</f>
        <v>0</v>
      </c>
      <c r="H5" s="5">
        <f>G33</f>
        <v>0</v>
      </c>
      <c r="I5" s="5">
        <f>H33</f>
        <v>0</v>
      </c>
      <c r="J5" s="5">
        <f>I33</f>
        <v>0</v>
      </c>
      <c r="K5" s="5">
        <f>J33</f>
        <v>0</v>
      </c>
      <c r="L5" s="5">
        <f>K33</f>
        <v>0</v>
      </c>
      <c r="M5" s="5">
        <f>L33</f>
        <v>0</v>
      </c>
      <c r="N5" s="5">
        <f>M33</f>
        <v>0</v>
      </c>
      <c r="O5" s="5">
        <f>C5</f>
        <v>0</v>
      </c>
    </row>
    <row r="6" spans="1:15" x14ac:dyDescent="0.25">
      <c r="A6" s="6" t="s">
        <v>19</v>
      </c>
      <c r="B6" s="6" t="s">
        <v>20</v>
      </c>
      <c r="C6" s="7">
        <v>39000</v>
      </c>
      <c r="D6" s="7">
        <v>41000</v>
      </c>
      <c r="E6" s="7">
        <v>43000</v>
      </c>
      <c r="F6" s="7">
        <v>45000</v>
      </c>
      <c r="G6" s="7">
        <v>59000</v>
      </c>
      <c r="H6" s="7">
        <v>49500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5">
        <f>SUM(C6:N6)</f>
        <v>0</v>
      </c>
    </row>
    <row r="7" spans="1:15" x14ac:dyDescent="0.25">
      <c r="A7" s="6" t="s">
        <v>21</v>
      </c>
      <c r="B7" s="6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5">
        <f>SUM(C7:N7)</f>
        <v>0</v>
      </c>
    </row>
    <row r="8" spans="1:15" x14ac:dyDescent="0.25">
      <c r="A8" s="6" t="s">
        <v>22</v>
      </c>
      <c r="B8" s="6" t="s">
        <v>20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5">
        <f>SUM(C8:N8)</f>
        <v>0</v>
      </c>
    </row>
    <row r="9" spans="1:15" x14ac:dyDescent="0.25">
      <c r="A9" s="6" t="s">
        <v>23</v>
      </c>
      <c r="B9" s="6" t="s">
        <v>20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5">
        <f>SUM(C9:N9)</f>
        <v>0</v>
      </c>
    </row>
    <row r="10" spans="1:15" x14ac:dyDescent="0.25">
      <c r="A10" s="4" t="s">
        <v>24</v>
      </c>
      <c r="B10" s="4" t="s">
        <v>18</v>
      </c>
      <c r="C10" s="5">
        <f>SUM(C6:C9)</f>
        <v>0</v>
      </c>
      <c r="D10" s="5">
        <f>SUM(D6:D9)</f>
        <v>0</v>
      </c>
      <c r="E10" s="5">
        <f>SUM(E6:E9)</f>
        <v>0</v>
      </c>
      <c r="F10" s="5">
        <f>SUM(F6:F9)</f>
        <v>0</v>
      </c>
      <c r="G10" s="5">
        <f>SUM(G6:G9)</f>
        <v>0</v>
      </c>
      <c r="H10" s="5">
        <f>SUM(H6:H9)</f>
        <v>0</v>
      </c>
      <c r="I10" s="5">
        <f>SUM(I6:I9)</f>
        <v>0</v>
      </c>
      <c r="J10" s="5">
        <f>SUM(J6:J9)</f>
        <v>0</v>
      </c>
      <c r="K10" s="5">
        <f>SUM(K6:K9)</f>
        <v>0</v>
      </c>
      <c r="L10" s="5">
        <f>SUM(L6:L9)</f>
        <v>0</v>
      </c>
      <c r="M10" s="5">
        <f>SUM(M6:M9)</f>
        <v>0</v>
      </c>
      <c r="N10" s="5">
        <f>SUM(N6:N9)</f>
        <v>0</v>
      </c>
      <c r="O10" s="5">
        <f>SUM(C10:N10)</f>
        <v>0</v>
      </c>
    </row>
    <row r="11" spans="1:15" x14ac:dyDescent="0.25">
      <c r="A11" s="6" t="s">
        <v>25</v>
      </c>
      <c r="B11" s="6" t="s">
        <v>20</v>
      </c>
      <c r="C11" s="7">
        <v>12000</v>
      </c>
      <c r="D11" s="7">
        <v>12500</v>
      </c>
      <c r="E11" s="7">
        <v>13000</v>
      </c>
      <c r="F11" s="7">
        <v>13500</v>
      </c>
      <c r="G11" s="7">
        <v>14000</v>
      </c>
      <c r="H11" s="7">
        <v>14500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5">
        <f>SUM(C11:N11)</f>
        <v>0</v>
      </c>
    </row>
    <row r="12" spans="1:15" x14ac:dyDescent="0.25">
      <c r="A12" s="6" t="s">
        <v>26</v>
      </c>
      <c r="B12" s="6" t="s">
        <v>20</v>
      </c>
      <c r="C12" s="7">
        <v>5400</v>
      </c>
      <c r="D12" s="7">
        <v>900</v>
      </c>
      <c r="E12" s="7">
        <v>950</v>
      </c>
      <c r="F12" s="7">
        <v>950</v>
      </c>
      <c r="G12" s="7">
        <v>1000</v>
      </c>
      <c r="H12" s="7">
        <v>1000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5">
        <f>SUM(C12:N12)</f>
        <v>0</v>
      </c>
    </row>
    <row r="13" spans="1:15" x14ac:dyDescent="0.25">
      <c r="A13" s="6" t="s">
        <v>27</v>
      </c>
      <c r="B13" s="6" t="s">
        <v>20</v>
      </c>
      <c r="C13" s="7">
        <v>14700</v>
      </c>
      <c r="D13" s="7">
        <v>5320</v>
      </c>
      <c r="E13" s="7">
        <v>5490</v>
      </c>
      <c r="F13" s="7">
        <v>5660</v>
      </c>
      <c r="G13" s="7">
        <v>5830</v>
      </c>
      <c r="H13" s="7">
        <v>6000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5">
        <f>SUM(C13:N13)</f>
        <v>0</v>
      </c>
    </row>
    <row r="14" spans="1:15" x14ac:dyDescent="0.25">
      <c r="A14" s="6" t="s">
        <v>28</v>
      </c>
      <c r="B14" s="6" t="s">
        <v>20</v>
      </c>
      <c r="C14" s="7">
        <v>4410</v>
      </c>
      <c r="D14" s="7">
        <v>4540</v>
      </c>
      <c r="E14" s="7">
        <v>4605</v>
      </c>
      <c r="F14" s="7">
        <v>4735</v>
      </c>
      <c r="G14" s="7">
        <v>4865</v>
      </c>
      <c r="H14" s="7">
        <v>4930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5">
        <f>SUM(C14:N14)</f>
        <v>0</v>
      </c>
    </row>
    <row r="15" spans="1:15" x14ac:dyDescent="0.25">
      <c r="A15" s="6" t="s">
        <v>29</v>
      </c>
      <c r="B15" s="6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5">
        <f>SUM(C15:N15)</f>
        <v>0</v>
      </c>
    </row>
    <row r="16" spans="1:15" x14ac:dyDescent="0.25">
      <c r="A16" s="6" t="s">
        <v>30</v>
      </c>
      <c r="B16" s="6" t="s">
        <v>20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5">
        <f>SUM(C16:N16)</f>
        <v>0</v>
      </c>
    </row>
    <row r="17" spans="1:15" x14ac:dyDescent="0.25">
      <c r="A17" s="6" t="s">
        <v>31</v>
      </c>
      <c r="B17" s="6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5">
        <f>SUM(C17:N17)</f>
        <v>0</v>
      </c>
    </row>
    <row r="18" spans="1:15" x14ac:dyDescent="0.25">
      <c r="A18" s="6" t="s">
        <v>32</v>
      </c>
      <c r="B18" s="6" t="s">
        <v>20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5">
        <f>SUM(C18:N18)</f>
        <v>0</v>
      </c>
    </row>
    <row r="19" spans="1:15" x14ac:dyDescent="0.25">
      <c r="A19" s="4" t="s">
        <v>33</v>
      </c>
      <c r="B19" s="4" t="s">
        <v>18</v>
      </c>
      <c r="C19" s="5">
        <f>SUM(C11:C18)</f>
        <v>0</v>
      </c>
      <c r="D19" s="5">
        <f>SUM(D11:D18)</f>
        <v>0</v>
      </c>
      <c r="E19" s="5">
        <f>SUM(E11:E18)</f>
        <v>0</v>
      </c>
      <c r="F19" s="5">
        <f>SUM(F11:F18)</f>
        <v>0</v>
      </c>
      <c r="G19" s="5">
        <f>SUM(G11:G18)</f>
        <v>0</v>
      </c>
      <c r="H19" s="5">
        <f>SUM(H11:H18)</f>
        <v>0</v>
      </c>
      <c r="I19" s="5">
        <f>SUM(I11:I18)</f>
        <v>0</v>
      </c>
      <c r="J19" s="5">
        <f>SUM(J11:J18)</f>
        <v>0</v>
      </c>
      <c r="K19" s="5">
        <f>SUM(K11:K18)</f>
        <v>0</v>
      </c>
      <c r="L19" s="5">
        <f>SUM(L11:L18)</f>
        <v>0</v>
      </c>
      <c r="M19" s="5">
        <f>SUM(M11:M18)</f>
        <v>0</v>
      </c>
      <c r="N19" s="5">
        <f>SUM(N11:N18)</f>
        <v>0</v>
      </c>
      <c r="O19" s="5">
        <f>SUM(C19:N19)</f>
        <v>0</v>
      </c>
    </row>
    <row r="20" spans="1:15" x14ac:dyDescent="0.25">
      <c r="A20" s="4" t="s">
        <v>34</v>
      </c>
      <c r="B20" s="4" t="s">
        <v>18</v>
      </c>
      <c r="C20" s="5">
        <f>C10-C19</f>
        <v>0</v>
      </c>
      <c r="D20" s="5">
        <f>D10-D19</f>
        <v>0</v>
      </c>
      <c r="E20" s="5">
        <f>E10-E19</f>
        <v>0</v>
      </c>
      <c r="F20" s="5">
        <f>F10-F19</f>
        <v>0</v>
      </c>
      <c r="G20" s="5">
        <f>G10-G19</f>
        <v>0</v>
      </c>
      <c r="H20" s="5">
        <f>H10-H19</f>
        <v>0</v>
      </c>
      <c r="I20" s="5">
        <f>I10-I19</f>
        <v>0</v>
      </c>
      <c r="J20" s="5">
        <f>J10-J19</f>
        <v>0</v>
      </c>
      <c r="K20" s="5">
        <f>K10-K19</f>
        <v>0</v>
      </c>
      <c r="L20" s="5">
        <f>L10-L19</f>
        <v>0</v>
      </c>
      <c r="M20" s="5">
        <f>M10-M19</f>
        <v>0</v>
      </c>
      <c r="N20" s="5">
        <f>N10-N19</f>
        <v>0</v>
      </c>
      <c r="O20" s="5">
        <f>SUM(C20:N20)</f>
        <v>0</v>
      </c>
    </row>
    <row r="21" spans="1:15" x14ac:dyDescent="0.25">
      <c r="A21" s="6" t="s">
        <v>35</v>
      </c>
      <c r="B21" s="6" t="s">
        <v>20</v>
      </c>
      <c r="C21" s="7">
        <v>18000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5">
        <f>SUM(C21:N21)</f>
        <v>0</v>
      </c>
    </row>
    <row r="22" spans="1:15" x14ac:dyDescent="0.25">
      <c r="A22" s="6" t="s">
        <v>36</v>
      </c>
      <c r="B22" s="6" t="s">
        <v>20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5">
        <f>SUM(C22:N22)</f>
        <v>0</v>
      </c>
    </row>
    <row r="23" spans="1:15" x14ac:dyDescent="0.25">
      <c r="A23" s="6" t="s">
        <v>37</v>
      </c>
      <c r="B23" s="6" t="s">
        <v>20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5">
        <f>SUM(C23:N23)</f>
        <v>0</v>
      </c>
    </row>
    <row r="24" spans="1:15" x14ac:dyDescent="0.25">
      <c r="A24" s="6" t="s">
        <v>38</v>
      </c>
      <c r="B24" s="6" t="s">
        <v>20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5">
        <f>SUM(C24:N24)</f>
        <v>0</v>
      </c>
    </row>
    <row r="25" spans="1:15" x14ac:dyDescent="0.25">
      <c r="A25" s="4" t="s">
        <v>39</v>
      </c>
      <c r="B25" s="4" t="s">
        <v>18</v>
      </c>
      <c r="C25" s="5">
        <f>C22+C24-C21-C23</f>
        <v>0</v>
      </c>
      <c r="D25" s="5">
        <f>D22+D24-D21-D23</f>
        <v>0</v>
      </c>
      <c r="E25" s="5">
        <f>E22+E24-E21-E23</f>
        <v>0</v>
      </c>
      <c r="F25" s="5">
        <f>F22+F24-F21-F23</f>
        <v>0</v>
      </c>
      <c r="G25" s="5">
        <f>G22+G24-G21-G23</f>
        <v>0</v>
      </c>
      <c r="H25" s="5">
        <f>H22+H24-H21-H23</f>
        <v>0</v>
      </c>
      <c r="I25" s="5">
        <f>I22+I24-I21-I23</f>
        <v>0</v>
      </c>
      <c r="J25" s="5">
        <f>J22+J24-J21-J23</f>
        <v>0</v>
      </c>
      <c r="K25" s="5">
        <f>K22+K24-K21-K23</f>
        <v>0</v>
      </c>
      <c r="L25" s="5">
        <f>L22+L24-L21-L23</f>
        <v>0</v>
      </c>
      <c r="M25" s="5">
        <f>M22+M24-M21-M23</f>
        <v>0</v>
      </c>
      <c r="N25" s="5">
        <f>N22+N24-N21-N23</f>
        <v>0</v>
      </c>
      <c r="O25" s="5">
        <f>SUM(C25:N25)</f>
        <v>0</v>
      </c>
    </row>
    <row r="26" spans="1:15" x14ac:dyDescent="0.25">
      <c r="A26" s="6" t="s">
        <v>40</v>
      </c>
      <c r="B26" s="6" t="s">
        <v>20</v>
      </c>
      <c r="C26" s="7">
        <v>0</v>
      </c>
      <c r="D26" s="7">
        <v>35000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5">
        <f>SUM(C26:N26)</f>
        <v>0</v>
      </c>
    </row>
    <row r="27" spans="1:15" x14ac:dyDescent="0.25">
      <c r="A27" s="6" t="s">
        <v>41</v>
      </c>
      <c r="B27" s="6" t="s">
        <v>20</v>
      </c>
      <c r="C27" s="7">
        <v>2260</v>
      </c>
      <c r="D27" s="7">
        <v>2320</v>
      </c>
      <c r="E27" s="7">
        <v>2380</v>
      </c>
      <c r="F27" s="7">
        <v>2440</v>
      </c>
      <c r="G27" s="7">
        <v>2500</v>
      </c>
      <c r="H27" s="7">
        <v>2560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5">
        <f>SUM(C27:N27)</f>
        <v>0</v>
      </c>
    </row>
    <row r="28" spans="1:15" x14ac:dyDescent="0.25">
      <c r="A28" s="6" t="s">
        <v>42</v>
      </c>
      <c r="B28" s="6" t="s">
        <v>20</v>
      </c>
      <c r="C28" s="7">
        <v>120000</v>
      </c>
      <c r="D28" s="7">
        <v>0</v>
      </c>
      <c r="E28" s="7">
        <v>0</v>
      </c>
      <c r="F28" s="7">
        <v>15000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5">
        <f>SUM(C28:N28)</f>
        <v>0</v>
      </c>
    </row>
    <row r="29" spans="1:15" x14ac:dyDescent="0.25">
      <c r="A29" s="6" t="s">
        <v>43</v>
      </c>
      <c r="B29" s="6" t="s">
        <v>20</v>
      </c>
      <c r="C29" s="7">
        <v>0</v>
      </c>
      <c r="D29" s="7">
        <v>0</v>
      </c>
      <c r="E29" s="7">
        <v>6000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5">
        <f>SUM(C29:N29)</f>
        <v>0</v>
      </c>
    </row>
    <row r="30" spans="1:15" x14ac:dyDescent="0.25">
      <c r="A30" s="4" t="s">
        <v>44</v>
      </c>
      <c r="B30" s="4" t="s">
        <v>18</v>
      </c>
      <c r="C30" s="5">
        <f>C26+C28-C27-C29</f>
        <v>0</v>
      </c>
      <c r="D30" s="5">
        <f>D26+D28-D27-D29</f>
        <v>0</v>
      </c>
      <c r="E30" s="5">
        <f>E26+E28-E27-E29</f>
        <v>0</v>
      </c>
      <c r="F30" s="5">
        <f>F26+F28-F27-F29</f>
        <v>0</v>
      </c>
      <c r="G30" s="5">
        <f>G26+G28-G27-G29</f>
        <v>0</v>
      </c>
      <c r="H30" s="5">
        <f>H26+H28-H27-H29</f>
        <v>0</v>
      </c>
      <c r="I30" s="5">
        <f>I26+I28-I27-I29</f>
        <v>0</v>
      </c>
      <c r="J30" s="5">
        <f>J26+J28-J27-J29</f>
        <v>0</v>
      </c>
      <c r="K30" s="5">
        <f>K26+K28-K27-K29</f>
        <v>0</v>
      </c>
      <c r="L30" s="5">
        <f>L26+L28-L27-L29</f>
        <v>0</v>
      </c>
      <c r="M30" s="5">
        <f>M26+M28-M27-M29</f>
        <v>0</v>
      </c>
      <c r="N30" s="5">
        <f>N26+N28-N27-N29</f>
        <v>0</v>
      </c>
      <c r="O30" s="5">
        <f>SUM(C30:N30)</f>
        <v>0</v>
      </c>
    </row>
    <row r="31" spans="1:15" x14ac:dyDescent="0.25">
      <c r="A31" s="6" t="s">
        <v>45</v>
      </c>
      <c r="B31" s="6" t="s">
        <v>20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5">
        <f>SUM(C31:N31)</f>
        <v>0</v>
      </c>
    </row>
    <row r="32" spans="1:15" x14ac:dyDescent="0.25">
      <c r="A32" s="4" t="s">
        <v>46</v>
      </c>
      <c r="B32" s="4" t="s">
        <v>18</v>
      </c>
      <c r="C32" s="5">
        <f>SUM(C20,C25,C30,C31)</f>
        <v>0</v>
      </c>
      <c r="D32" s="5">
        <f>SUM(D20,D25,D30,D31)</f>
        <v>0</v>
      </c>
      <c r="E32" s="5">
        <f>SUM(E20,E25,E30,E31)</f>
        <v>0</v>
      </c>
      <c r="F32" s="5">
        <f>SUM(F20,F25,F30,F31)</f>
        <v>0</v>
      </c>
      <c r="G32" s="5">
        <f>SUM(G20,G25,G30,G31)</f>
        <v>0</v>
      </c>
      <c r="H32" s="5">
        <f>SUM(H20,H25,H30,H31)</f>
        <v>0</v>
      </c>
      <c r="I32" s="5">
        <f>SUM(I20,I25,I30,I31)</f>
        <v>0</v>
      </c>
      <c r="J32" s="5">
        <f>SUM(J20,J25,J30,J31)</f>
        <v>0</v>
      </c>
      <c r="K32" s="5">
        <f>SUM(K20,K25,K30,K31)</f>
        <v>0</v>
      </c>
      <c r="L32" s="5">
        <f>SUM(L20,L25,L30,L31)</f>
        <v>0</v>
      </c>
      <c r="M32" s="5">
        <f>SUM(M20,M25,M30,M31)</f>
        <v>0</v>
      </c>
      <c r="N32" s="5">
        <f>SUM(N20,N25,N30,N31)</f>
        <v>0</v>
      </c>
      <c r="O32" s="5">
        <f>SUM(C32:N32)</f>
        <v>0</v>
      </c>
    </row>
    <row r="33" spans="1:15" x14ac:dyDescent="0.25">
      <c r="A33" s="4" t="s">
        <v>47</v>
      </c>
      <c r="B33" s="4" t="s">
        <v>18</v>
      </c>
      <c r="C33" s="5">
        <f>C5+C32</f>
        <v>0</v>
      </c>
      <c r="D33" s="5">
        <f>D5+D32</f>
        <v>0</v>
      </c>
      <c r="E33" s="5">
        <f>E5+E32</f>
        <v>0</v>
      </c>
      <c r="F33" s="5">
        <f>F5+F32</f>
        <v>0</v>
      </c>
      <c r="G33" s="5">
        <f>G5+G32</f>
        <v>0</v>
      </c>
      <c r="H33" s="5">
        <f>H5+H32</f>
        <v>0</v>
      </c>
      <c r="I33" s="5">
        <f>I5+I32</f>
        <v>0</v>
      </c>
      <c r="J33" s="5">
        <f>J5+J32</f>
        <v>0</v>
      </c>
      <c r="K33" s="5">
        <f>K5+K32</f>
        <v>0</v>
      </c>
      <c r="L33" s="5">
        <f>L5+L32</f>
        <v>0</v>
      </c>
      <c r="M33" s="5">
        <f>M5+M32</f>
        <v>0</v>
      </c>
      <c r="N33" s="5">
        <f>N5+N32</f>
        <v>0</v>
      </c>
      <c r="O33" s="5">
        <f>N33</f>
        <v>0</v>
      </c>
    </row>
  </sheetData>
  <mergeCells count="2">
    <mergeCell ref="A1:O1"/>
    <mergeCell ref="A2:O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customHeight="1"/>
  <cols>
    <col min="1" max="1" width="45" customWidth="1"/>
    <col min="2" max="2" width="95" customWidth="1"/>
  </cols>
  <sheetData>
    <row r="1" spans="1:2" x14ac:dyDescent="0.25">
      <c r="A1" s="3" t="s">
        <v>2</v>
      </c>
      <c r="B1" s="3" t="s">
        <v>48</v>
      </c>
    </row>
    <row r="2" spans="1:2" x14ac:dyDescent="0.25">
      <c r="A2" t="s">
        <v>17</v>
      </c>
      <c r="B2" t="s">
        <v>49</v>
      </c>
    </row>
    <row r="3" spans="1:2" x14ac:dyDescent="0.25">
      <c r="A3" t="s">
        <v>19</v>
      </c>
      <c r="B3" t="s">
        <v>50</v>
      </c>
    </row>
    <row r="4" spans="1:2" x14ac:dyDescent="0.25">
      <c r="A4" t="s">
        <v>21</v>
      </c>
      <c r="B4" t="s">
        <v>51</v>
      </c>
    </row>
    <row r="5" spans="1:2" x14ac:dyDescent="0.25">
      <c r="A5" t="s">
        <v>22</v>
      </c>
      <c r="B5" t="s">
        <v>52</v>
      </c>
    </row>
    <row r="6" spans="1:2" x14ac:dyDescent="0.25">
      <c r="A6" t="s">
        <v>23</v>
      </c>
      <c r="B6" t="s">
        <v>53</v>
      </c>
    </row>
    <row r="7" spans="1:2" x14ac:dyDescent="0.25">
      <c r="A7" t="s">
        <v>24</v>
      </c>
      <c r="B7" t="s">
        <v>49</v>
      </c>
    </row>
    <row r="8" spans="1:2" x14ac:dyDescent="0.25">
      <c r="A8" t="s">
        <v>25</v>
      </c>
      <c r="B8" t="s">
        <v>54</v>
      </c>
    </row>
    <row r="9" spans="1:2" x14ac:dyDescent="0.25">
      <c r="A9" t="s">
        <v>26</v>
      </c>
      <c r="B9" t="s">
        <v>55</v>
      </c>
    </row>
    <row r="10" spans="1:2" x14ac:dyDescent="0.25">
      <c r="A10" t="s">
        <v>27</v>
      </c>
      <c r="B10" t="s">
        <v>56</v>
      </c>
    </row>
    <row r="11" spans="1:2" x14ac:dyDescent="0.25">
      <c r="A11" t="s">
        <v>28</v>
      </c>
      <c r="B11" t="s">
        <v>57</v>
      </c>
    </row>
    <row r="12" spans="1:2" x14ac:dyDescent="0.25">
      <c r="A12" t="s">
        <v>29</v>
      </c>
      <c r="B12" t="s">
        <v>58</v>
      </c>
    </row>
    <row r="13" spans="1:2" x14ac:dyDescent="0.25">
      <c r="A13" t="s">
        <v>30</v>
      </c>
      <c r="B13" t="s">
        <v>59</v>
      </c>
    </row>
    <row r="14" spans="1:2" x14ac:dyDescent="0.25">
      <c r="A14" t="s">
        <v>31</v>
      </c>
      <c r="B14" t="s">
        <v>60</v>
      </c>
    </row>
    <row r="15" spans="1:2" x14ac:dyDescent="0.25">
      <c r="A15" t="s">
        <v>32</v>
      </c>
      <c r="B15" t="s">
        <v>61</v>
      </c>
    </row>
    <row r="16" spans="1:2" x14ac:dyDescent="0.25">
      <c r="A16" t="s">
        <v>33</v>
      </c>
      <c r="B16" t="s">
        <v>49</v>
      </c>
    </row>
    <row r="17" spans="1:2" x14ac:dyDescent="0.25">
      <c r="A17" t="s">
        <v>34</v>
      </c>
      <c r="B17" t="s">
        <v>49</v>
      </c>
    </row>
    <row r="18" spans="1:2" x14ac:dyDescent="0.25">
      <c r="A18" t="s">
        <v>35</v>
      </c>
      <c r="B18" t="s">
        <v>62</v>
      </c>
    </row>
    <row r="19" spans="1:2" x14ac:dyDescent="0.25">
      <c r="A19" t="s">
        <v>36</v>
      </c>
      <c r="B19" t="s">
        <v>63</v>
      </c>
    </row>
    <row r="20" spans="1:2" x14ac:dyDescent="0.25">
      <c r="A20" t="s">
        <v>37</v>
      </c>
      <c r="B20" t="s">
        <v>64</v>
      </c>
    </row>
    <row r="21" spans="1:2" x14ac:dyDescent="0.25">
      <c r="A21" t="s">
        <v>38</v>
      </c>
      <c r="B21" t="s">
        <v>65</v>
      </c>
    </row>
    <row r="22" spans="1:2" x14ac:dyDescent="0.25">
      <c r="A22" t="s">
        <v>39</v>
      </c>
      <c r="B22" t="s">
        <v>49</v>
      </c>
    </row>
    <row r="23" spans="1:2" x14ac:dyDescent="0.25">
      <c r="A23" t="s">
        <v>40</v>
      </c>
      <c r="B23" t="s">
        <v>66</v>
      </c>
    </row>
    <row r="24" spans="1:2" x14ac:dyDescent="0.25">
      <c r="A24" t="s">
        <v>41</v>
      </c>
      <c r="B24" t="s">
        <v>67</v>
      </c>
    </row>
    <row r="25" spans="1:2" x14ac:dyDescent="0.25">
      <c r="A25" t="s">
        <v>42</v>
      </c>
      <c r="B25" t="s">
        <v>68</v>
      </c>
    </row>
    <row r="26" spans="1:2" x14ac:dyDescent="0.25">
      <c r="A26" t="s">
        <v>43</v>
      </c>
      <c r="B26" t="s">
        <v>69</v>
      </c>
    </row>
    <row r="27" spans="1:2" x14ac:dyDescent="0.25">
      <c r="A27" t="s">
        <v>44</v>
      </c>
      <c r="B27" t="s">
        <v>49</v>
      </c>
    </row>
    <row r="28" spans="1:2" x14ac:dyDescent="0.25">
      <c r="A28" t="s">
        <v>45</v>
      </c>
      <c r="B28" t="s">
        <v>70</v>
      </c>
    </row>
    <row r="29" spans="1:2" x14ac:dyDescent="0.25">
      <c r="A29" t="s">
        <v>46</v>
      </c>
      <c r="B29" t="s">
        <v>49</v>
      </c>
    </row>
    <row r="30" spans="1:2" x14ac:dyDescent="0.25">
      <c r="A30" t="s">
        <v>47</v>
      </c>
      <c r="B30" t="s">
        <v>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 2026</vt:lpstr>
      <vt:lpstr>Row meanings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Challenging Direct Method Cash Flow Template 2026</dc:title>
  <cp:lastModifiedBy>Unknown</cp:lastModifiedBy>
  <dcterms:created xsi:type="dcterms:W3CDTF">2026-05-13T00:00:00Z</dcterms:created>
  <dcterms:modified xsi:type="dcterms:W3CDTF">2026-05-14T18:47:21Z</dcterms:modified>
</cp:coreProperties>
</file>