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Direct Cash Bridge" state="visible" r:id="rId4"/>
  </sheets>
  <calcPr calcId="171027" fullCalcOnLoad="1"/>
</workbook>
</file>

<file path=xl/sharedStrings.xml><?xml version="1.0" encoding="utf-8"?>
<sst xmlns="http://schemas.openxmlformats.org/spreadsheetml/2006/main" count="39" uniqueCount="33">
  <si>
    <t>Direct-Method Cash Flow Template - 12 Monthly Periods, 2026</t>
  </si>
  <si>
    <t>Scenario tag</t>
  </si>
  <si>
    <t>Base case</t>
  </si>
  <si>
    <t>Currency</t>
  </si>
  <si>
    <t>USD</t>
  </si>
  <si>
    <t>Prepared by</t>
  </si>
  <si>
    <t/>
  </si>
  <si>
    <t>Writable rows are zero-filled; formula rows are shaded.</t>
  </si>
  <si>
    <t>Line</t>
  </si>
  <si>
    <t>Cash band</t>
  </si>
  <si>
    <t>Accountant-readable cash line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</si>
  <si>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</si>
  <si>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</si>
  <si>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</si>
  <si>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</si>
  <si>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</si>
  <si>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</si>
  <si>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</si>
  <si>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</si>
  <si>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</si>
  <si>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</si>
  <si>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</si>
  <si>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</si>
  <si>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FY total</t>
  </si>
  <si>
    <t>Lowest month</t>
  </si>
  <si>
    <t>Highest month</t>
  </si>
  <si>
    <t>Template note</t>
  </si>
  <si>
    <t>Period end date</t>
  </si>
  <si>
    <t>Opening cash on hand and in bank</t>
  </si>
  <si>
    <t>Cash collected from trading activity</t>
  </si>
  <si>
    <t>Cash paid to keep the business running</t>
  </si>
  <si>
    <t>Cash tied to long-life assets and deposits</t>
  </si>
  <si>
    <t>Cash exchanged with funders and principals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</si>
</sst>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 d"/>
    <numFmt numFmtId="165" formatCode="#,##0;[Red](#,##0);&quot;-&quot;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455468"/>
    </font>
    <font>
      <i/>
      <color rgb="FF667085"/>
    </font>
    <font>
      <b/>
      <color rgb="FFFFFFFF"/>
    </font>
    <font/>
    <font>
      <b/>
    </font>
    <font>
      <color rgb="FF667085"/>
    </font>
    <font>
      <color rgb="FF344054"/>
    </font>
  </fonts>
  <fills count="9">
    <fill>
      <patternFill patternType="none"/>
    </fill>
    <fill>
      <patternFill patternType="gray125"/>
    </fill>
    <fill>
      <patternFill patternType="solid">
        <fgColor rgb="FF243142"/>
      </patternFill>
    </fill>
    <fill>
      <patternFill patternType="solid">
        <fgColor rgb="FFF8FAFC"/>
      </patternFill>
    </fill>
    <fill>
      <patternFill patternType="solid">
        <fgColor rgb="FFEFF3F7"/>
      </patternFill>
    </fill>
    <fill>
      <patternFill patternType="solid">
        <fgColor rgb="FFDDE7F3"/>
      </patternFill>
    </fill>
    <fill>
      <patternFill patternType="solid">
        <fgColor rgb="FFDEEBD8"/>
      </patternFill>
    </fill>
    <fill>
      <patternFill patternType="solid">
        <fgColor rgb="FFE8F1FF"/>
      </patternFill>
    </fill>
    <fill>
      <patternFill patternType="solid">
        <fgColor rgb="FFF3E8D5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/>
      <right/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0" fontId="6" fillId="0" borderId="0" xfId="0" applyFont="1"/>
    <xf numFmtId="0" fontId="7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5" fontId="6" fillId="7" borderId="1" xfId="0" applyNumberFormat="1" applyFont="1" applyFill="1" applyBorder="1" applyAlignment="1">
      <alignment vertical="center"/>
    </xf>
    <xf numFmtId="165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wrapText="1"/>
    </xf>
    <xf numFmtId="0" fontId="7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wrapText="1"/>
    </xf>
    <xf numFmtId="0" fontId="7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165" fontId="6" fillId="8" borderId="1" xfId="0" applyNumberFormat="1" applyFont="1" applyFill="1" applyBorder="1" applyAlignment="1">
      <alignment vertical="center"/>
    </xf>
    <xf numFmtId="0" fontId="6" fillId="8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bgColor rgb="FFFFD6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5"/>
  <sheetViews>
    <sheetView workbookViewId="0" zoomScale="100" zoomScaleNormal="100">
      <pane xSplit="3" ySplit="8" topLeftCell="D9" activePane="bottomRight" state="frozen"/>
      <selection pane="bottomRight" activeCell="D9" sqref="D9"/>
    </sheetView>
  </sheetViews>
  <sheetFormatPr defaultRowHeight="18" outlineLevelRow="0" outlineLevelCol="0" x14ac:dyDescent="55" customHeight="1"/>
  <cols>
    <col min="2" max="2" width="18" customWidth="1"/>
    <col min="3" max="3" width="42" customWidth="1"/>
    <col min="4" max="15" width="13" customWidth="1"/>
    <col min="16" max="16" width="14" customWidth="1"/>
    <col min="17" max="18" width="12" customWidth="1"/>
    <col min="19" max="19" width="34" style="1" customWidth="1"/>
  </cols>
  <sheetData>
    <row r="1" ht="28" customHeight="1" spans="1:1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>
        <v>228575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 t="s">
        <v>1</v>
      </c>
      <c r="B4" s="4"/>
      <c r="C4" s="4"/>
      <c r="D4" s="5" t="s">
        <v>2</v>
      </c>
      <c r="E4" s="4"/>
      <c r="F4" s="4" t="s">
        <v>3</v>
      </c>
      <c r="G4" s="5" t="s">
        <v>4</v>
      </c>
      <c r="H4" s="4"/>
      <c r="I4" s="4" t="s">
        <v>5</v>
      </c>
      <c r="J4" s="5" t="s">
        <v>6</v>
      </c>
      <c r="K4" s="4"/>
      <c r="L4" s="4"/>
      <c r="M4" s="4"/>
      <c r="N4" s="4"/>
      <c r="O4" s="4"/>
      <c r="P4" s="4"/>
      <c r="Q4" s="4"/>
      <c r="R4" s="4"/>
      <c r="S4" s="6" t="s">
        <v>7</v>
      </c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4" customHeight="1" spans="1:19" x14ac:dyDescent="0.25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17</v>
      </c>
      <c r="K7" s="7" t="s">
        <v>18</v>
      </c>
      <c r="L7" s="7" t="s">
        <v>19</v>
      </c>
      <c r="M7" s="7" t="s">
        <v>20</v>
      </c>
      <c r="N7" s="7" t="s">
        <v>21</v>
      </c>
      <c r="O7" s="7" t="s">
        <v>22</v>
      </c>
      <c r="P7" s="7" t="s">
        <v>23</v>
      </c>
      <c r="Q7" s="7" t="s">
        <v>24</v>
      </c>
      <c r="R7" s="7" t="s">
        <v>25</v>
      </c>
      <c r="S7" s="8" t="s">
        <v>26</v>
      </c>
    </row>
    <row r="8" spans="1:19" x14ac:dyDescent="0.25">
      <c r="A8" s="9" t="s">
        <v>6</v>
      </c>
      <c r="B8" s="9" t="s">
        <v>6</v>
      </c>
      <c r="C8" s="9" t="s">
        <v>27</v>
      </c>
      <c r="D8" s="10">
        <v>46053</v>
      </c>
      <c r="E8" s="10">
        <v>46081</v>
      </c>
      <c r="F8" s="10">
        <v>46112</v>
      </c>
      <c r="G8" s="10">
        <v>46142</v>
      </c>
      <c r="H8" s="10">
        <v>46173</v>
      </c>
      <c r="I8" s="10">
        <v>46203</v>
      </c>
      <c r="J8" s="10">
        <v>46234</v>
      </c>
      <c r="K8" s="10">
        <v>46265</v>
      </c>
      <c r="L8" s="10">
        <v>46295</v>
      </c>
      <c r="M8" s="10">
        <v>46326</v>
      </c>
      <c r="N8" s="10">
        <v>46356</v>
      </c>
      <c r="O8" s="10">
        <v>46387</v>
      </c>
      <c r="P8" s="9" t="s">
        <v>6</v>
      </c>
      <c r="Q8" s="9" t="s">
        <v>6</v>
      </c>
      <c r="R8" s="9" t="s">
        <v>6</v>
      </c>
      <c r="S8" s="11" t="s">
        <v>6</v>
      </c>
    </row>
    <row r="9" ht="22" customHeight="1" spans="1:19" x14ac:dyDescent="0.25">
      <c r="A9" s="12" t="s">
        <v>28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s="13" customFormat="1" x14ac:dyDescent="0.25">
      <c r="A10" s="14">
        <v>0</v>
      </c>
      <c r="B10" s="15">
        <v>0</v>
      </c>
      <c r="C10" s="16">
        <v>0</v>
      </c>
      <c r="D10" s="17">
        <v>0</v>
      </c>
      <c r="E10" s="18">
        <f>D44</f>
      </c>
      <c r="F10" s="18">
        <f>E44</f>
      </c>
      <c r="G10" s="18">
        <f>F44</f>
      </c>
      <c r="H10" s="18">
        <f>G44</f>
      </c>
      <c r="I10" s="18">
        <f>H44</f>
      </c>
      <c r="J10" s="18">
        <f>I44</f>
      </c>
      <c r="K10" s="18">
        <f>J44</f>
      </c>
      <c r="L10" s="18">
        <f>K44</f>
      </c>
      <c r="M10" s="18">
        <f>L44</f>
      </c>
      <c r="N10" s="18">
        <f>M44</f>
      </c>
      <c r="O10" s="18">
        <f>N44</f>
      </c>
      <c r="P10" s="19">
        <f>D10</f>
      </c>
      <c r="Q10" s="19">
        <f>MIN(D10:O10)</f>
      </c>
      <c r="R10" s="19">
        <f>MAX(D10:O10)</f>
      </c>
      <c r="S10" s="20">
        <v>0</v>
      </c>
    </row>
    <row r="11" spans="1:19" x14ac:dyDescent="0.25">
      <c r="A11" s="21"/>
      <c r="B11" s="22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4"/>
    </row>
    <row r="12" ht="22" customHeight="1" spans="1:19" x14ac:dyDescent="0.25">
      <c r="A12" s="12" t="s">
        <v>29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25">
      <c r="A13" s="21">
        <v>0</v>
      </c>
      <c r="B13" s="22">
        <v>0</v>
      </c>
      <c r="C13" s="25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4">
        <v>0</v>
      </c>
      <c r="Q13" s="24">
        <v>0</v>
      </c>
      <c r="R13" s="24">
        <v>0</v>
      </c>
      <c r="S13" s="27">
        <v>0</v>
      </c>
    </row>
    <row r="14" spans="1:19" x14ac:dyDescent="0.25">
      <c r="A14" s="21">
        <v>0</v>
      </c>
      <c r="B14" s="22">
        <v>0</v>
      </c>
      <c r="C14" s="25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4">
        <v>0</v>
      </c>
      <c r="Q14" s="24">
        <v>0</v>
      </c>
      <c r="R14" s="24">
        <v>0</v>
      </c>
      <c r="S14" s="27">
        <v>0</v>
      </c>
    </row>
    <row r="15" spans="1:19" x14ac:dyDescent="0.25">
      <c r="A15" s="21">
        <v>0</v>
      </c>
      <c r="B15" s="22">
        <v>0</v>
      </c>
      <c r="C15" s="25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4">
        <v>0</v>
      </c>
      <c r="Q15" s="24">
        <v>0</v>
      </c>
      <c r="R15" s="24">
        <v>0</v>
      </c>
      <c r="S15" s="27">
        <v>0</v>
      </c>
    </row>
    <row r="16" spans="1:19" x14ac:dyDescent="0.25">
      <c r="A16" s="21">
        <v>0</v>
      </c>
      <c r="B16" s="22">
        <v>0</v>
      </c>
      <c r="C16" s="25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4">
        <v>0</v>
      </c>
      <c r="Q16" s="24">
        <v>0</v>
      </c>
      <c r="R16" s="24">
        <v>0</v>
      </c>
      <c r="S16" s="27">
        <v>0</v>
      </c>
    </row>
    <row r="17" spans="1:19" s="13" customFormat="1" x14ac:dyDescent="0.25">
      <c r="A17" s="28">
        <v>0</v>
      </c>
      <c r="B17" s="29">
        <v>0</v>
      </c>
      <c r="C17" s="30">
        <v>0</v>
      </c>
      <c r="D17" s="18">
        <f>SUM(D13,D14,D15,D16)</f>
      </c>
      <c r="E17" s="18">
        <f>SUM(E13,E14,E15,E16)</f>
      </c>
      <c r="F17" s="18">
        <f>SUM(F13,F14,F15,F16)</f>
      </c>
      <c r="G17" s="18">
        <f>SUM(G13,G14,G15,G16)</f>
      </c>
      <c r="H17" s="18">
        <f>SUM(H13,H14,H15,H16)</f>
      </c>
      <c r="I17" s="18">
        <f>SUM(I13,I14,I15,I16)</f>
      </c>
      <c r="J17" s="18">
        <f>SUM(J13,J14,J15,J16)</f>
      </c>
      <c r="K17" s="18">
        <f>SUM(K13,K14,K15,K16)</f>
      </c>
      <c r="L17" s="18">
        <f>SUM(L13,L14,L15,L16)</f>
      </c>
      <c r="M17" s="18">
        <f>SUM(M13,M14,M15,M16)</f>
      </c>
      <c r="N17" s="18">
        <f>SUM(N13,N14,N15,N16)</f>
      </c>
      <c r="O17" s="18">
        <f>SUM(O13,O14,O15,O16)</f>
      </c>
      <c r="P17" s="18">
        <f>SUM(D17:O17)</f>
      </c>
      <c r="Q17" s="18">
        <f>MIN(D17:O17)</f>
      </c>
      <c r="R17" s="18">
        <f>MAX(D17:O17)</f>
      </c>
      <c r="S17" s="31">
        <v>0</v>
      </c>
    </row>
    <row r="18" spans="1:19" x14ac:dyDescent="0.25">
      <c r="A18" s="21"/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4"/>
    </row>
    <row r="19" ht="22" customHeight="1" spans="1:19" x14ac:dyDescent="0.25">
      <c r="A19" s="12" t="s">
        <v>30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25">
      <c r="A20" s="21">
        <v>0</v>
      </c>
      <c r="B20" s="22">
        <v>0</v>
      </c>
      <c r="C20" s="25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4">
        <v>0</v>
      </c>
      <c r="Q20" s="24">
        <v>0</v>
      </c>
      <c r="R20" s="24">
        <v>0</v>
      </c>
      <c r="S20" s="27">
        <v>0</v>
      </c>
    </row>
    <row r="21" spans="1:19" x14ac:dyDescent="0.25">
      <c r="A21" s="21">
        <v>0</v>
      </c>
      <c r="B21" s="22">
        <v>0</v>
      </c>
      <c r="C21" s="25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4">
        <v>0</v>
      </c>
      <c r="Q21" s="24">
        <v>0</v>
      </c>
      <c r="R21" s="24">
        <v>0</v>
      </c>
      <c r="S21" s="27">
        <v>0</v>
      </c>
    </row>
    <row r="22" spans="1:19" x14ac:dyDescent="0.25">
      <c r="A22" s="21">
        <v>0</v>
      </c>
      <c r="B22" s="22">
        <v>0</v>
      </c>
      <c r="C22" s="25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4">
        <v>0</v>
      </c>
      <c r="Q22" s="24">
        <v>0</v>
      </c>
      <c r="R22" s="24">
        <v>0</v>
      </c>
      <c r="S22" s="27">
        <v>0</v>
      </c>
    </row>
    <row r="23" spans="1:19" x14ac:dyDescent="0.25">
      <c r="A23" s="21">
        <v>0</v>
      </c>
      <c r="B23" s="22">
        <v>0</v>
      </c>
      <c r="C23" s="25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4">
        <v>0</v>
      </c>
      <c r="Q23" s="24">
        <v>0</v>
      </c>
      <c r="R23" s="24">
        <v>0</v>
      </c>
      <c r="S23" s="27">
        <v>0</v>
      </c>
    </row>
    <row r="24" spans="1:19" x14ac:dyDescent="0.25">
      <c r="A24" s="21">
        <v>0</v>
      </c>
      <c r="B24" s="22">
        <v>0</v>
      </c>
      <c r="C24" s="25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4">
        <v>0</v>
      </c>
      <c r="Q24" s="24">
        <v>0</v>
      </c>
      <c r="R24" s="24">
        <v>0</v>
      </c>
      <c r="S24" s="27">
        <v>0</v>
      </c>
    </row>
    <row r="25" spans="1:19" s="13" customFormat="1" x14ac:dyDescent="0.25">
      <c r="A25" s="28">
        <v>0</v>
      </c>
      <c r="B25" s="29">
        <v>0</v>
      </c>
      <c r="C25" s="30">
        <v>0</v>
      </c>
      <c r="D25" s="18">
        <f>SUM(D20,D21,D22,D23,D24)</f>
      </c>
      <c r="E25" s="18">
        <f>SUM(E20,E21,E22,E23,E24)</f>
      </c>
      <c r="F25" s="18">
        <f>SUM(F20,F21,F22,F23,F24)</f>
      </c>
      <c r="G25" s="18">
        <f>SUM(G20,G21,G22,G23,G24)</f>
      </c>
      <c r="H25" s="18">
        <f>SUM(H20,H21,H22,H23,H24)</f>
      </c>
      <c r="I25" s="18">
        <f>SUM(I20,I21,I22,I23,I24)</f>
      </c>
      <c r="J25" s="18">
        <f>SUM(J20,J21,J22,J23,J24)</f>
      </c>
      <c r="K25" s="18">
        <f>SUM(K20,K21,K22,K23,K24)</f>
      </c>
      <c r="L25" s="18">
        <f>SUM(L20,L21,L22,L23,L24)</f>
      </c>
      <c r="M25" s="18">
        <f>SUM(M20,M21,M22,M23,M24)</f>
      </c>
      <c r="N25" s="18">
        <f>SUM(N20,N21,N22,N23,N24)</f>
      </c>
      <c r="O25" s="18">
        <f>SUM(O20,O21,O22,O23,O24)</f>
      </c>
      <c r="P25" s="18">
        <f>SUM(D25:O25)</f>
      </c>
      <c r="Q25" s="18">
        <f>MIN(D25:O25)</f>
      </c>
      <c r="R25" s="18">
        <f>MAX(D25:O25)</f>
      </c>
      <c r="S25" s="31">
        <v>0</v>
      </c>
    </row>
    <row r="26" spans="1:19" s="13" customFormat="1" x14ac:dyDescent="0.25">
      <c r="A26" s="28">
        <v>0</v>
      </c>
      <c r="B26" s="29">
        <v>0</v>
      </c>
      <c r="C26" s="30">
        <v>0</v>
      </c>
      <c r="D26" s="18">
        <f>D17-D25</f>
      </c>
      <c r="E26" s="18">
        <f>E17-E25</f>
      </c>
      <c r="F26" s="18">
        <f>F17-F25</f>
      </c>
      <c r="G26" s="18">
        <f>G17-G25</f>
      </c>
      <c r="H26" s="18">
        <f>H17-H25</f>
      </c>
      <c r="I26" s="18">
        <f>I17-I25</f>
      </c>
      <c r="J26" s="18">
        <f>J17-J25</f>
      </c>
      <c r="K26" s="18">
        <f>K17-K25</f>
      </c>
      <c r="L26" s="18">
        <f>L17-L25</f>
      </c>
      <c r="M26" s="18">
        <f>M17-M25</f>
      </c>
      <c r="N26" s="18">
        <f>N17-N25</f>
      </c>
      <c r="O26" s="18">
        <f>O17-O25</f>
      </c>
      <c r="P26" s="18">
        <f>SUM(D26:O26)</f>
      </c>
      <c r="Q26" s="18">
        <f>MIN(D26:O26)</f>
      </c>
      <c r="R26" s="18">
        <f>MAX(D26:O26)</f>
      </c>
      <c r="S26" s="31">
        <v>0</v>
      </c>
    </row>
    <row r="27" spans="1:19" x14ac:dyDescent="0.25">
      <c r="A27" s="21"/>
      <c r="B27" s="22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4"/>
    </row>
    <row r="28" ht="22" customHeight="1" spans="1:19" x14ac:dyDescent="0.25">
      <c r="A28" s="12" t="s">
        <v>31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x14ac:dyDescent="0.25">
      <c r="A29" s="21">
        <v>0</v>
      </c>
      <c r="B29" s="22">
        <v>0</v>
      </c>
      <c r="C29" s="25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4">
        <v>0</v>
      </c>
      <c r="Q29" s="24">
        <v>0</v>
      </c>
      <c r="R29" s="24">
        <v>0</v>
      </c>
      <c r="S29" s="27">
        <v>0</v>
      </c>
    </row>
    <row r="30" spans="1:19" x14ac:dyDescent="0.25">
      <c r="A30" s="21">
        <v>0</v>
      </c>
      <c r="B30" s="22">
        <v>0</v>
      </c>
      <c r="C30" s="25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4">
        <v>0</v>
      </c>
      <c r="Q30" s="24">
        <v>0</v>
      </c>
      <c r="R30" s="24">
        <v>0</v>
      </c>
      <c r="S30" s="27">
        <v>0</v>
      </c>
    </row>
    <row r="31" spans="1:19" x14ac:dyDescent="0.25">
      <c r="A31" s="21">
        <v>0</v>
      </c>
      <c r="B31" s="22">
        <v>0</v>
      </c>
      <c r="C31" s="25">
        <v>0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4">
        <v>0</v>
      </c>
      <c r="Q31" s="24">
        <v>0</v>
      </c>
      <c r="R31" s="24">
        <v>0</v>
      </c>
      <c r="S31" s="27">
        <v>0</v>
      </c>
    </row>
    <row r="32" spans="1:19" x14ac:dyDescent="0.25">
      <c r="A32" s="21">
        <v>0</v>
      </c>
      <c r="B32" s="22">
        <v>0</v>
      </c>
      <c r="C32" s="25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4">
        <v>0</v>
      </c>
      <c r="Q32" s="24">
        <v>0</v>
      </c>
      <c r="R32" s="24">
        <v>0</v>
      </c>
      <c r="S32" s="27">
        <v>0</v>
      </c>
    </row>
    <row r="33" spans="1:19" s="13" customFormat="1" x14ac:dyDescent="0.25">
      <c r="A33" s="28">
        <v>0</v>
      </c>
      <c r="B33" s="29">
        <v>0</v>
      </c>
      <c r="C33" s="30">
        <v>0</v>
      </c>
      <c r="D33" s="18">
        <f>-D29-D30+D31-D32</f>
      </c>
      <c r="E33" s="18">
        <f>-E29-E30+E31-E32</f>
      </c>
      <c r="F33" s="18">
        <f>-F29-F30+F31-F32</f>
      </c>
      <c r="G33" s="18">
        <f>-G29-G30+G31-G32</f>
      </c>
      <c r="H33" s="18">
        <f>-H29-H30+H31-H32</f>
      </c>
      <c r="I33" s="18">
        <f>-I29-I30+I31-I32</f>
      </c>
      <c r="J33" s="18">
        <f>-J29-J30+J31-J32</f>
      </c>
      <c r="K33" s="18">
        <f>-K29-K30+K31-K32</f>
      </c>
      <c r="L33" s="18">
        <f>-L29-L30+L31-L32</f>
      </c>
      <c r="M33" s="18">
        <f>-M29-M30+M31-M32</f>
      </c>
      <c r="N33" s="18">
        <f>-N29-N30+N31-N32</f>
      </c>
      <c r="O33" s="18">
        <f>-O29-O30+O31-O32</f>
      </c>
      <c r="P33" s="18">
        <f>SUM(D33:O33)</f>
      </c>
      <c r="Q33" s="18">
        <f>MIN(D33:O33)</f>
      </c>
      <c r="R33" s="18">
        <f>MAX(D33:O33)</f>
      </c>
      <c r="S33" s="31">
        <v>0</v>
      </c>
    </row>
    <row r="34" spans="1:19" x14ac:dyDescent="0.25">
      <c r="A34" s="21"/>
      <c r="B34" s="22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4"/>
    </row>
    <row r="35" ht="22" customHeight="1" spans="1:19" x14ac:dyDescent="0.25">
      <c r="A35" s="12" t="s">
        <v>32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25">
      <c r="A36" s="21">
        <v>0</v>
      </c>
      <c r="B36" s="22">
        <v>0</v>
      </c>
      <c r="C36" s="25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4">
        <v>0</v>
      </c>
      <c r="Q36" s="24">
        <v>0</v>
      </c>
      <c r="R36" s="24">
        <v>0</v>
      </c>
      <c r="S36" s="27">
        <v>0</v>
      </c>
    </row>
    <row r="37" spans="1:19" x14ac:dyDescent="0.25">
      <c r="A37" s="21">
        <v>0</v>
      </c>
      <c r="B37" s="22">
        <v>0</v>
      </c>
      <c r="C37" s="25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4">
        <v>0</v>
      </c>
      <c r="Q37" s="24">
        <v>0</v>
      </c>
      <c r="R37" s="24">
        <v>0</v>
      </c>
      <c r="S37" s="27">
        <v>0</v>
      </c>
    </row>
    <row r="38" spans="1:19" x14ac:dyDescent="0.25">
      <c r="A38" s="21">
        <v>0</v>
      </c>
      <c r="B38" s="22">
        <v>0</v>
      </c>
      <c r="C38" s="25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4">
        <v>0</v>
      </c>
      <c r="Q38" s="24">
        <v>0</v>
      </c>
      <c r="R38" s="24">
        <v>0</v>
      </c>
      <c r="S38" s="27">
        <v>0</v>
      </c>
    </row>
    <row r="39" spans="1:19" x14ac:dyDescent="0.25">
      <c r="A39" s="21">
        <v>0</v>
      </c>
      <c r="B39" s="22">
        <v>0</v>
      </c>
      <c r="C39" s="25">
        <v>0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4">
        <v>0</v>
      </c>
      <c r="Q39" s="24">
        <v>0</v>
      </c>
      <c r="R39" s="24">
        <v>0</v>
      </c>
      <c r="S39" s="27">
        <v>0</v>
      </c>
    </row>
    <row r="40" spans="1:19" s="13" customFormat="1" x14ac:dyDescent="0.25">
      <c r="A40" s="28">
        <v>0</v>
      </c>
      <c r="B40" s="29">
        <v>0</v>
      </c>
      <c r="C40" s="30">
        <v>0</v>
      </c>
      <c r="D40" s="18">
        <f>D36-D37+D38-D39</f>
      </c>
      <c r="E40" s="18">
        <f>E36-E37+E38-E39</f>
      </c>
      <c r="F40" s="18">
        <f>F36-F37+F38-F39</f>
      </c>
      <c r="G40" s="18">
        <f>G36-G37+G38-G39</f>
      </c>
      <c r="H40" s="18">
        <f>H36-H37+H38-H39</f>
      </c>
      <c r="I40" s="18">
        <f>I36-I37+I38-I39</f>
      </c>
      <c r="J40" s="18">
        <f>J36-J37+J38-J39</f>
      </c>
      <c r="K40" s="18">
        <f>K36-K37+K38-K39</f>
      </c>
      <c r="L40" s="18">
        <f>L36-L37+L38-L39</f>
      </c>
      <c r="M40" s="18">
        <f>M36-M37+M38-M39</f>
      </c>
      <c r="N40" s="18">
        <f>N36-N37+N38-N39</f>
      </c>
      <c r="O40" s="18">
        <f>O36-O37+O38-O39</f>
      </c>
      <c r="P40" s="18">
        <f>SUM(D40:O40)</f>
      </c>
      <c r="Q40" s="18">
        <f>MIN(D40:O40)</f>
      </c>
      <c r="R40" s="18">
        <f>MAX(D40:O40)</f>
      </c>
      <c r="S40" s="31">
        <v>0</v>
      </c>
    </row>
    <row r="41" spans="1:19" x14ac:dyDescent="0.25">
      <c r="A41" s="21"/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4"/>
    </row>
    <row r="42" ht="22" customHeight="1" spans="1:19" x14ac:dyDescent="0.25">
      <c r="A42" s="12">
        <v>228575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s="13" customFormat="1" x14ac:dyDescent="0.25">
      <c r="A43" s="32">
        <v>0</v>
      </c>
      <c r="B43" s="33">
        <v>0</v>
      </c>
      <c r="C43" s="34">
        <v>0</v>
      </c>
      <c r="D43" s="35">
        <f>D26+D33+D40</f>
      </c>
      <c r="E43" s="35">
        <f>E26+E33+E40</f>
      </c>
      <c r="F43" s="35">
        <f>F26+F33+F40</f>
      </c>
      <c r="G43" s="35">
        <f>G26+G33+G40</f>
      </c>
      <c r="H43" s="35">
        <f>H26+H33+H40</f>
      </c>
      <c r="I43" s="35">
        <f>I26+I33+I40</f>
      </c>
      <c r="J43" s="35">
        <f>J26+J33+J40</f>
      </c>
      <c r="K43" s="35">
        <f>K26+K33+K40</f>
      </c>
      <c r="L43" s="35">
        <f>L26+L33+L40</f>
      </c>
      <c r="M43" s="35">
        <f>M26+M33+M40</f>
      </c>
      <c r="N43" s="35">
        <f>N26+N33+N40</f>
      </c>
      <c r="O43" s="35">
        <f>O26+O33+O40</f>
      </c>
      <c r="P43" s="35">
        <f>SUM(D43:O43)</f>
      </c>
      <c r="Q43" s="35">
        <f>MIN(D43:O43)</f>
      </c>
      <c r="R43" s="35">
        <f>MAX(D43:O43)</f>
      </c>
      <c r="S43" s="36">
        <v>0</v>
      </c>
    </row>
    <row r="44" spans="1:19" s="13" customFormat="1" x14ac:dyDescent="0.25">
      <c r="A44" s="14">
        <v>0</v>
      </c>
      <c r="B44" s="15">
        <v>0</v>
      </c>
      <c r="C44" s="37">
        <v>0</v>
      </c>
      <c r="D44" s="19">
        <f>D10+D43</f>
      </c>
      <c r="E44" s="19">
        <f>E10+E43</f>
      </c>
      <c r="F44" s="19">
        <f>F10+F43</f>
      </c>
      <c r="G44" s="19">
        <f>G10+G43</f>
      </c>
      <c r="H44" s="19">
        <f>H10+H43</f>
      </c>
      <c r="I44" s="19">
        <f>I10+I43</f>
      </c>
      <c r="J44" s="19">
        <f>J10+J43</f>
      </c>
      <c r="K44" s="19">
        <f>K10+K43</f>
      </c>
      <c r="L44" s="19">
        <f>L10+L43</f>
      </c>
      <c r="M44" s="19">
        <f>M10+M43</f>
      </c>
      <c r="N44" s="19">
        <f>N10+N43</f>
      </c>
      <c r="O44" s="19">
        <f>O10+O43</f>
      </c>
      <c r="P44" s="19">
        <f>SUM(D44:O44)</f>
      </c>
      <c r="Q44" s="19">
        <f>MIN(D44:O44)</f>
      </c>
      <c r="R44" s="19">
        <f>MAX(D44:O44)</f>
      </c>
      <c r="S44" s="20">
        <v>0</v>
      </c>
    </row>
    <row r="45" spans="1:19" s="13" customFormat="1" x14ac:dyDescent="0.25">
      <c r="A45" s="28">
        <v>0</v>
      </c>
      <c r="B45" s="29">
        <v>0</v>
      </c>
      <c r="C45" s="30">
        <v>0</v>
      </c>
      <c r="D45" s="18">
        <f>D44-D10-D43</f>
      </c>
      <c r="E45" s="18">
        <f>E44-E10-E43</f>
      </c>
      <c r="F45" s="18">
        <f>F44-F10-F43</f>
      </c>
      <c r="G45" s="18">
        <f>G44-G10-G43</f>
      </c>
      <c r="H45" s="18">
        <f>H44-H10-H43</f>
      </c>
      <c r="I45" s="18">
        <f>I44-I10-I43</f>
      </c>
      <c r="J45" s="18">
        <f>J44-J10-J43</f>
      </c>
      <c r="K45" s="18">
        <f>K44-K10-K43</f>
      </c>
      <c r="L45" s="18">
        <f>L44-L10-L43</f>
      </c>
      <c r="M45" s="18">
        <f>M44-M10-M43</f>
      </c>
      <c r="N45" s="18">
        <f>N44-N10-N43</f>
      </c>
      <c r="O45" s="18">
        <f>O44-O10-O43</f>
      </c>
      <c r="P45" s="18">
        <f>SUM(D45:O45)</f>
      </c>
      <c r="Q45" s="18">
        <f>MIN(D45:O45)</f>
      </c>
      <c r="R45" s="18">
        <f>MAX(D45:O45)</f>
      </c>
      <c r="S45" s="31">
        <v>0</v>
      </c>
    </row>
  </sheetData>
  <autoFilter ref="A7:S7"/>
  <mergeCells count="9">
    <mergeCell ref="A1:S1"/>
    <mergeCell ref="A2:S2"/>
    <mergeCell ref="A4:C4"/>
    <mergeCell ref="A9:S9"/>
    <mergeCell ref="A12:S12"/>
    <mergeCell ref="A19:S19"/>
    <mergeCell ref="A28:S28"/>
    <mergeCell ref="A35:S35"/>
    <mergeCell ref="A42:S42"/>
  </mergeCells>
  <conditionalFormatting sqref="D45:O45">
    <cfRule type="cellIs" dxfId="0" priority="1" operator="notEqual">
      <formula>0</formula>
    </cfRule>
  </conditionalFormatting>
  <pageMargins left="0.7" right="0.7" top="0.75" bottom="0.75" header="0.3" footer="0.3"/>
  <pageSetup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Direct Cash Bridge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2026-05-13T00:00:00Z</dcterms:created>
  <dcterms:modified xsi:type="dcterms:W3CDTF">2026-05-13T00:00:00Z</dcterms:modified>
</cp:coreProperties>
</file>