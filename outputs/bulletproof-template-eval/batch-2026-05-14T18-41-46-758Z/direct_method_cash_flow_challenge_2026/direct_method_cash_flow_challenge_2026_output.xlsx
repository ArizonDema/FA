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</sheets>
  <calcPr calcId="171027" fullCalcOnLoad="1"/>
</workbook>
</file>

<file path=xl/sharedStrings.xml><?xml version="1.0" encoding="utf-8"?>
<sst xmlns="http://schemas.openxmlformats.org/spreadsheetml/2006/main" count="109" uniqueCount="81">
  <si>
    <t>2026 Direct-Method Cash Flow Template</t>
  </si>
  <si>
    <t>Writable amount rows are zero-filled; formula rows calculate the cash rollforward.</t>
  </si>
  <si>
    <t>Enter inflows as positive amounts and cash paid out as negative amounts.</t>
  </si>
  <si>
    <t>#</t>
  </si>
  <si>
    <t>Line caption</t>
  </si>
  <si>
    <t>Row kind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</si>
  <si>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</si>
  <si>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</si>
  <si>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</si>
  <si>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</si>
  <si>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</si>
  <si>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</si>
  <si>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</si>
  <si>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</si>
  <si>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</si>
  <si>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</si>
  <si>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</si>
  <si>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</si>
  <si>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total</t>
  </si>
  <si>
    <t>Plain-English cue</t>
  </si>
  <si>
    <t>Opening cash on hand and in bank</t>
  </si>
  <si>
    <t>opening</t>
  </si>
  <si>
    <t>Cash available at the very start of each month.</t>
  </si>
  <si>
    <t>Counterparty collections and operating float</t>
  </si>
  <si>
    <t>section</t>
  </si>
  <si>
    <t>Till sweeps from fulfilled orders</t>
  </si>
  <si>
    <t>input</t>
  </si>
  <si>
    <t>Cash collected when sold goods or completed services are paid for.</t>
  </si>
  <si>
    <t>Retainer drawdowns released by clients</t>
  </si>
  <si>
    <t>Previously held client advances that become available as work is performed.</t>
  </si>
  <si>
    <t>Partner pass-through recoveries</t>
  </si>
  <si>
    <t>Reimbursements collected for costs initially paid on behalf of others.</t>
  </si>
  <si>
    <t>Card processor reserve releases</t>
  </si>
  <si>
    <t>Cash returned from payment processors after temporary holds are lifted.</t>
  </si>
  <si>
    <t>Subtotal - trading inflows before housekeeping</t>
  </si>
  <si>
    <t>formula</t>
  </si>
  <si>
    <t>People, premises, and routine vendor leakage</t>
  </si>
  <si>
    <t>Crew settlement envelopes</t>
  </si>
  <si>
    <t>Regular cash paid to employees, contractors, or other labor providers.</t>
  </si>
  <si>
    <t>Workshop occupancy remittances</t>
  </si>
  <si>
    <t>Cash paid to use offices, storage, production, or service space.</t>
  </si>
  <si>
    <t>Utility and connectivity clearings</t>
  </si>
  <si>
    <t>Cash paid for power, water, telecom, internet, and similar operating services.</t>
  </si>
  <si>
    <t>Trade supplier docket payments</t>
  </si>
  <si>
    <t>Cash paid to vendors for materials, merchandise, supplies, and outside services.</t>
  </si>
  <si>
    <t>Warranty make-good disbursements</t>
  </si>
  <si>
    <t>Cash paid to repair, replace, refund, or otherwise satisfy customer obligations.</t>
  </si>
  <si>
    <t>Subtotal - recurring operating disbursements</t>
  </si>
  <si>
    <t>Public charges and compliance settlements</t>
  </si>
  <si>
    <t>Indirect tax net remittance</t>
  </si>
  <si>
    <t>Sales, VAT, GST, or similar transaction taxes paid net of offsets.</t>
  </si>
  <si>
    <t>Withholding and employment levy sweep</t>
  </si>
  <si>
    <t>Payroll-related taxes, benefit levies, and required withholdings paid out.</t>
  </si>
  <si>
    <t>Licensing, permits, and statutory dues</t>
  </si>
  <si>
    <t>Cash paid for required filings, permits, registrations, and compliance fees.</t>
  </si>
  <si>
    <t>Subtotal - public-charge cash outs</t>
  </si>
  <si>
    <t>Long-use asset and platform spending</t>
  </si>
  <si>
    <t>Fit-out milestone cheques</t>
  </si>
  <si>
    <t>Cash spent on build-outs, fixtures, improvements, or other long-lived setup work.</t>
  </si>
  <si>
    <t>Production rig deposits and balances</t>
  </si>
  <si>
    <t>Cash paid for equipment, machinery, vehicles, tooling, or similar assets.</t>
  </si>
  <si>
    <t>Core system implementation tranches</t>
  </si>
  <si>
    <t>Cash paid to deploy durable software, infrastructure, or platform capability.</t>
  </si>
  <si>
    <t>Subtotal - durable asset deployments</t>
  </si>
  <si>
    <t>Funding, stakeholder, and reserve movements</t>
  </si>
  <si>
    <t>Founder bridge notes funded</t>
  </si>
  <si>
    <t>Cash received from short-term or related-party financing arrangements.</t>
  </si>
  <si>
    <t>Bank facility principal retired</t>
  </si>
  <si>
    <t>Cash paid to reduce loan principal or other borrowed balances.</t>
  </si>
  <si>
    <t>Member tax draw packets</t>
  </si>
  <si>
    <t>Cash paid to owners or members for taxes, drawings, or similar distributions.</t>
  </si>
  <si>
    <t>Restricted cash lockbox build</t>
  </si>
  <si>
    <t>Cash moved into restricted or reserved accounts and no longer freely available.</t>
  </si>
  <si>
    <t>Restricted cash lockbox release</t>
  </si>
  <si>
    <t>Cash released from restricted or reserved accounts back into available cash.</t>
  </si>
  <si>
    <t>Subtotal - financing and reserve net flow</t>
  </si>
  <si>
    <t>Net cash travel for the month</t>
  </si>
  <si>
    <t>Total monthly cash inflows less cash outflows and reserve movements.</t>
  </si>
  <si>
    <t>Closing cash on hand and in bank</t>
  </si>
  <si>
    <t>closing</t>
  </si>
  <si>
    <t>Cash remaining at the end of each month after the direct cash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</si>
</sst>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2616B"/>
      <name val="Calibri"/>
    </font>
    <font>
      <b/>
      <color rgb="FFFFFFFF"/>
      <name val="Calibri"/>
    </font>
    <font>
      <b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  <fill>
      <patternFill patternType="solid">
        <fgColor rgb="FFF7E5C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FE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8C2CC"/>
      </bottom>
      <diagonal/>
    </border>
    <border>
      <left/>
      <right/>
      <top/>
      <bottom style="medium">
        <color rgb="FF1F2933"/>
      </bottom>
      <diagonal/>
    </border>
    <border>
      <left/>
      <right/>
      <top style="medium">
        <color rgb="FF1F2933"/>
      </top>
      <bottom style="medium">
        <color rgb="FF1F29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0" fontId="4" fillId="4" borderId="1" xfId="0" applyFont="1" applyFill="1" applyBorder="1"/>
    <xf numFmtId="3" fontId="5" fillId="0" borderId="1" xfId="0" applyNumberFormat="1" applyFont="1" applyBorder="1"/>
    <xf numFmtId="3" fontId="4" fillId="0" borderId="1" xfId="0" applyNumberFormat="1" applyFont="1" applyBorder="1"/>
    <xf numFmtId="3" fontId="4" fillId="0" borderId="2" xfId="0" applyNumberFormat="1" applyFont="1" applyBorder="1"/>
    <xf numFmtId="3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4"/>
  <sheetViews>
    <sheetView workbookViewId="0" showGridLines="0" zoomScale="100" zoomScaleNormal="100">
      <pane xSplit="3" ySplit="6" topLeftCell="D7" activePane="bottomRight" state="frozen"/>
      <selection pane="bottomRight"/>
    </sheetView>
  </sheetViews>
  <sheetFormatPr customHeight="1"/>
  <cols>
    <col min="1" max="1" width="5" customWidth="1"/>
    <col min="2" max="2" width="38" customWidth="1"/>
    <col min="3" max="3" width="10" customWidth="1"/>
    <col min="4" max="16" width="13" customWidth="1"/>
    <col min="18" max="18" width="3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6" spans="1:18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R6" s="3" t="s">
        <v>19</v>
      </c>
    </row>
    <row r="7" spans="1:18" x14ac:dyDescent="0.25">
      <c r="A7" s="4">
        <v>1</v>
      </c>
      <c r="B7" s="4" t="s">
        <v>20</v>
      </c>
      <c r="C7" s="4" t="s">
        <v>21</v>
      </c>
      <c r="D7" s="4">
        <v>0</v>
      </c>
      <c r="E7" s="4">
        <f>D44</f>
        <v>0</v>
      </c>
      <c r="F7" s="4">
        <f>E44</f>
        <v>0</v>
      </c>
      <c r="G7" s="4">
        <f>F44</f>
        <v>0</v>
      </c>
      <c r="H7" s="4">
        <f>G44</f>
        <v>0</v>
      </c>
      <c r="I7" s="4">
        <f>H44</f>
        <v>0</v>
      </c>
      <c r="J7" s="4">
        <f>I44</f>
        <v>0</v>
      </c>
      <c r="K7" s="4">
        <f>J44</f>
        <v>0</v>
      </c>
      <c r="L7" s="4">
        <f>K44</f>
        <v>0</v>
      </c>
      <c r="M7" s="4">
        <f>L44</f>
        <v>0</v>
      </c>
      <c r="N7" s="4">
        <f>M44</f>
        <v>0</v>
      </c>
      <c r="O7" s="4">
        <f>N44</f>
        <v>0</v>
      </c>
      <c r="P7" s="4">
        <f>D7</f>
        <v>0</v>
      </c>
      <c r="R7" s="4" t="s">
        <v>22</v>
      </c>
    </row>
    <row r="8" spans="1:3" x14ac:dyDescent="0.25">
      <c r="A8" s="5">
        <v>2</v>
      </c>
      <c r="B8" s="5" t="s">
        <v>23</v>
      </c>
      <c r="C8" s="5" t="s">
        <v>24</v>
      </c>
    </row>
    <row r="9" ht="22" customHeight="1" spans="1:18" x14ac:dyDescent="0.25">
      <c r="A9">
        <v>3</v>
      </c>
      <c r="B9" t="s">
        <v>25</v>
      </c>
      <c r="C9" t="s">
        <v>26</v>
      </c>
      <c r="D9" s="6">
        <v>39000</v>
      </c>
      <c r="E9" s="6">
        <v>41000</v>
      </c>
      <c r="F9" s="6">
        <v>43000</v>
      </c>
      <c r="G9" s="6">
        <v>45000</v>
      </c>
      <c r="H9" s="6">
        <v>59000</v>
      </c>
      <c r="I9" s="6">
        <v>49500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f>SUM(D9:O9)</f>
        <v>0</v>
      </c>
      <c r="R9" t="s">
        <v>27</v>
      </c>
    </row>
    <row r="10" ht="22" customHeight="1" spans="1:18" x14ac:dyDescent="0.25">
      <c r="A10">
        <v>4</v>
      </c>
      <c r="B10" t="s">
        <v>28</v>
      </c>
      <c r="C10" t="s">
        <v>26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f>SUM(D10:O10)</f>
        <v>0</v>
      </c>
      <c r="R10" t="s">
        <v>29</v>
      </c>
    </row>
    <row r="11" ht="22" customHeight="1" spans="1:18" x14ac:dyDescent="0.25">
      <c r="A11">
        <v>5</v>
      </c>
      <c r="B11" t="s">
        <v>30</v>
      </c>
      <c r="C1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f>SUM(D11:O11)</f>
        <v>0</v>
      </c>
      <c r="R11" t="s">
        <v>31</v>
      </c>
    </row>
    <row r="12" ht="22" customHeight="1" spans="1:18" x14ac:dyDescent="0.25">
      <c r="A12">
        <v>6</v>
      </c>
      <c r="B12" t="s">
        <v>32</v>
      </c>
      <c r="C12" t="s">
        <v>26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7">
        <f>SUM(D12:O12)</f>
        <v>0</v>
      </c>
      <c r="R12" t="s">
        <v>33</v>
      </c>
    </row>
    <row r="13" spans="1:16" x14ac:dyDescent="0.25">
      <c r="A13" s="8">
        <v>7</v>
      </c>
      <c r="B13" s="8" t="s">
        <v>34</v>
      </c>
      <c r="C13" s="8" t="s">
        <v>35</v>
      </c>
      <c r="D13" s="8">
        <f>SUM(D9:D12)</f>
        <v>0</v>
      </c>
      <c r="E13" s="8">
        <f>SUM(E9:E12)</f>
        <v>0</v>
      </c>
      <c r="F13" s="8">
        <f>SUM(F9:F12)</f>
        <v>0</v>
      </c>
      <c r="G13" s="8">
        <f>SUM(G9:G12)</f>
        <v>0</v>
      </c>
      <c r="H13" s="8">
        <f>SUM(H9:H12)</f>
        <v>0</v>
      </c>
      <c r="I13" s="8">
        <f>SUM(I9:I12)</f>
        <v>0</v>
      </c>
      <c r="J13" s="8">
        <f>SUM(J9:J12)</f>
        <v>0</v>
      </c>
      <c r="K13" s="8">
        <f>SUM(K9:K12)</f>
        <v>0</v>
      </c>
      <c r="L13" s="8">
        <f>SUM(L9:L12)</f>
        <v>0</v>
      </c>
      <c r="M13" s="8">
        <f>SUM(M9:M12)</f>
        <v>0</v>
      </c>
      <c r="N13" s="8">
        <f>SUM(N9:N12)</f>
        <v>0</v>
      </c>
      <c r="O13" s="8">
        <f>SUM(O9:O12)</f>
        <v>0</v>
      </c>
      <c r="P13" s="8">
        <f>SUM(D13:O13)</f>
        <v>0</v>
      </c>
    </row>
    <row r="15" spans="1:3" x14ac:dyDescent="0.25">
      <c r="A15" s="5">
        <v>8</v>
      </c>
      <c r="B15" s="5" t="s">
        <v>36</v>
      </c>
      <c r="C15" s="5" t="s">
        <v>24</v>
      </c>
    </row>
    <row r="16" ht="22" customHeight="1" spans="1:18" x14ac:dyDescent="0.25">
      <c r="A16">
        <v>9</v>
      </c>
      <c r="B16" t="s">
        <v>37</v>
      </c>
      <c r="C16" t="s">
        <v>26</v>
      </c>
      <c r="D16" s="6">
        <v>12000</v>
      </c>
      <c r="E16" s="6">
        <v>12500</v>
      </c>
      <c r="F16" s="6">
        <v>13000</v>
      </c>
      <c r="G16" s="6">
        <v>13500</v>
      </c>
      <c r="H16" s="6">
        <v>14000</v>
      </c>
      <c r="I16" s="6">
        <v>14500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f>SUM(D16:O16)</f>
        <v>0</v>
      </c>
      <c r="R16" t="s">
        <v>38</v>
      </c>
    </row>
    <row r="17" ht="22" customHeight="1" spans="1:18" x14ac:dyDescent="0.25">
      <c r="A17">
        <v>10</v>
      </c>
      <c r="B17" t="s">
        <v>39</v>
      </c>
      <c r="C17" t="s">
        <v>26</v>
      </c>
      <c r="D17" s="6">
        <v>5400</v>
      </c>
      <c r="E17" s="6">
        <v>900</v>
      </c>
      <c r="F17" s="6">
        <v>950</v>
      </c>
      <c r="G17" s="6">
        <v>950</v>
      </c>
      <c r="H17" s="6">
        <v>1000</v>
      </c>
      <c r="I17" s="6">
        <v>1000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f>SUM(D17:O17)</f>
        <v>0</v>
      </c>
      <c r="R17" t="s">
        <v>40</v>
      </c>
    </row>
    <row r="18" ht="22" customHeight="1" spans="1:18" x14ac:dyDescent="0.25">
      <c r="A18">
        <v>11</v>
      </c>
      <c r="B18" t="s">
        <v>41</v>
      </c>
      <c r="C18" t="s">
        <v>26</v>
      </c>
      <c r="D18" s="6">
        <v>14700</v>
      </c>
      <c r="E18" s="6">
        <v>5320</v>
      </c>
      <c r="F18" s="6">
        <v>5490</v>
      </c>
      <c r="G18" s="6">
        <v>5660</v>
      </c>
      <c r="H18" s="6">
        <v>5830</v>
      </c>
      <c r="I18" s="6">
        <v>6000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f>SUM(D18:O18)</f>
        <v>0</v>
      </c>
      <c r="R18" t="s">
        <v>42</v>
      </c>
    </row>
    <row r="19" ht="22" customHeight="1" spans="1:18" x14ac:dyDescent="0.25">
      <c r="A19">
        <v>12</v>
      </c>
      <c r="B19" t="s">
        <v>43</v>
      </c>
      <c r="C19" t="s">
        <v>26</v>
      </c>
      <c r="D19" s="6">
        <v>4410</v>
      </c>
      <c r="E19" s="6">
        <v>4540</v>
      </c>
      <c r="F19" s="6">
        <v>4605</v>
      </c>
      <c r="G19" s="6">
        <v>4735</v>
      </c>
      <c r="H19" s="6">
        <v>4865</v>
      </c>
      <c r="I19" s="6">
        <v>4930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f>SUM(D19:O19)</f>
        <v>0</v>
      </c>
      <c r="R19" t="s">
        <v>44</v>
      </c>
    </row>
    <row r="20" ht="22" customHeight="1" spans="1:18" x14ac:dyDescent="0.25">
      <c r="A20">
        <v>13</v>
      </c>
      <c r="B20" t="s">
        <v>45</v>
      </c>
      <c r="C20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f>SUM(D20:O20)</f>
        <v>0</v>
      </c>
      <c r="R20" t="s">
        <v>46</v>
      </c>
    </row>
    <row r="21" spans="1:16" x14ac:dyDescent="0.25">
      <c r="A21" s="8">
        <v>14</v>
      </c>
      <c r="B21" s="8" t="s">
        <v>47</v>
      </c>
      <c r="C21" s="8" t="s">
        <v>35</v>
      </c>
      <c r="D21" s="8">
        <f>SUM(D16:D20)</f>
        <v>0</v>
      </c>
      <c r="E21" s="8">
        <f>SUM(E16:E20)</f>
        <v>0</v>
      </c>
      <c r="F21" s="8">
        <f>SUM(F16:F20)</f>
        <v>0</v>
      </c>
      <c r="G21" s="8">
        <f>SUM(G16:G20)</f>
        <v>0</v>
      </c>
      <c r="H21" s="8">
        <f>SUM(H16:H20)</f>
        <v>0</v>
      </c>
      <c r="I21" s="8">
        <f>SUM(I16:I20)</f>
        <v>0</v>
      </c>
      <c r="J21" s="8">
        <f>SUM(J16:J20)</f>
        <v>0</v>
      </c>
      <c r="K21" s="8">
        <f>SUM(K16:K20)</f>
        <v>0</v>
      </c>
      <c r="L21" s="8">
        <f>SUM(L16:L20)</f>
        <v>0</v>
      </c>
      <c r="M21" s="8">
        <f>SUM(M16:M20)</f>
        <v>0</v>
      </c>
      <c r="N21" s="8">
        <f>SUM(N16:N20)</f>
        <v>0</v>
      </c>
      <c r="O21" s="8">
        <f>SUM(O16:O20)</f>
        <v>0</v>
      </c>
      <c r="P21" s="8">
        <f>SUM(D21:O21)</f>
        <v>0</v>
      </c>
    </row>
    <row r="23" spans="1:3" x14ac:dyDescent="0.25">
      <c r="A23" s="5">
        <v>15</v>
      </c>
      <c r="B23" s="5" t="s">
        <v>48</v>
      </c>
      <c r="C23" s="5" t="s">
        <v>24</v>
      </c>
    </row>
    <row r="24" ht="22" customHeight="1" spans="1:18" x14ac:dyDescent="0.25">
      <c r="A24">
        <v>16</v>
      </c>
      <c r="B24" t="s">
        <v>49</v>
      </c>
      <c r="C24" t="s">
        <v>26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f>SUM(D24:O24)</f>
        <v>0</v>
      </c>
      <c r="R24" t="s">
        <v>50</v>
      </c>
    </row>
    <row r="25" ht="22" customHeight="1" spans="1:18" x14ac:dyDescent="0.25">
      <c r="A25">
        <v>17</v>
      </c>
      <c r="B25" t="s">
        <v>51</v>
      </c>
      <c r="C25" t="s">
        <v>26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f>SUM(D25:O25)</f>
        <v>0</v>
      </c>
      <c r="R25" t="s">
        <v>52</v>
      </c>
    </row>
    <row r="26" ht="22" customHeight="1" spans="1:18" x14ac:dyDescent="0.25">
      <c r="A26">
        <v>18</v>
      </c>
      <c r="B26" t="s">
        <v>53</v>
      </c>
      <c r="C26" t="s">
        <v>26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7">
        <f>SUM(D26:O26)</f>
        <v>0</v>
      </c>
      <c r="R26" t="s">
        <v>54</v>
      </c>
    </row>
    <row r="27" spans="1:16" x14ac:dyDescent="0.25">
      <c r="A27" s="8">
        <v>19</v>
      </c>
      <c r="B27" s="8" t="s">
        <v>55</v>
      </c>
      <c r="C27" s="8" t="s">
        <v>35</v>
      </c>
      <c r="D27" s="8">
        <f>SUM(D24:D26)</f>
        <v>0</v>
      </c>
      <c r="E27" s="8">
        <f>SUM(E24:E26)</f>
        <v>0</v>
      </c>
      <c r="F27" s="8">
        <f>SUM(F24:F26)</f>
        <v>0</v>
      </c>
      <c r="G27" s="8">
        <f>SUM(G24:G26)</f>
        <v>0</v>
      </c>
      <c r="H27" s="8">
        <f>SUM(H24:H26)</f>
        <v>0</v>
      </c>
      <c r="I27" s="8">
        <f>SUM(I24:I26)</f>
        <v>0</v>
      </c>
      <c r="J27" s="8">
        <f>SUM(J24:J26)</f>
        <v>0</v>
      </c>
      <c r="K27" s="8">
        <f>SUM(K24:K26)</f>
        <v>0</v>
      </c>
      <c r="L27" s="8">
        <f>SUM(L24:L26)</f>
        <v>0</v>
      </c>
      <c r="M27" s="8">
        <f>SUM(M24:M26)</f>
        <v>0</v>
      </c>
      <c r="N27" s="8">
        <f>SUM(N24:N26)</f>
        <v>0</v>
      </c>
      <c r="O27" s="8">
        <f>SUM(O24:O26)</f>
        <v>0</v>
      </c>
      <c r="P27" s="8">
        <f>SUM(D27:O27)</f>
        <v>0</v>
      </c>
    </row>
    <row r="29" spans="1:3" x14ac:dyDescent="0.25">
      <c r="A29" s="5">
        <v>20</v>
      </c>
      <c r="B29" s="5" t="s">
        <v>56</v>
      </c>
      <c r="C29" s="5" t="s">
        <v>24</v>
      </c>
    </row>
    <row r="30" ht="22" customHeight="1" spans="1:18" x14ac:dyDescent="0.25">
      <c r="A30">
        <v>21</v>
      </c>
      <c r="B30" t="s">
        <v>57</v>
      </c>
      <c r="C30" t="s">
        <v>26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7">
        <f>SUM(D30:O30)</f>
        <v>0</v>
      </c>
      <c r="R30" t="s">
        <v>58</v>
      </c>
    </row>
    <row r="31" ht="22" customHeight="1" spans="1:18" x14ac:dyDescent="0.25">
      <c r="A31">
        <v>22</v>
      </c>
      <c r="B31" t="s">
        <v>59</v>
      </c>
      <c r="C31" t="s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f>SUM(D31:O31)</f>
        <v>0</v>
      </c>
      <c r="R31" t="s">
        <v>60</v>
      </c>
    </row>
    <row r="32" ht="22" customHeight="1" spans="1:18" x14ac:dyDescent="0.25">
      <c r="A32">
        <v>23</v>
      </c>
      <c r="B32" t="s">
        <v>61</v>
      </c>
      <c r="C32" t="s">
        <v>26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f>SUM(D32:O32)</f>
        <v>0</v>
      </c>
      <c r="R32" t="s">
        <v>62</v>
      </c>
    </row>
    <row r="33" spans="1:16" x14ac:dyDescent="0.25">
      <c r="A33" s="8">
        <v>24</v>
      </c>
      <c r="B33" s="8" t="s">
        <v>63</v>
      </c>
      <c r="C33" s="8" t="s">
        <v>35</v>
      </c>
      <c r="D33" s="8">
        <f>SUM(D30:D32)</f>
        <v>0</v>
      </c>
      <c r="E33" s="8">
        <f>SUM(E30:E32)</f>
        <v>0</v>
      </c>
      <c r="F33" s="8">
        <f>SUM(F30:F32)</f>
        <v>0</v>
      </c>
      <c r="G33" s="8">
        <f>SUM(G30:G32)</f>
        <v>0</v>
      </c>
      <c r="H33" s="8">
        <f>SUM(H30:H32)</f>
        <v>0</v>
      </c>
      <c r="I33" s="8">
        <f>SUM(I30:I32)</f>
        <v>0</v>
      </c>
      <c r="J33" s="8">
        <f>SUM(J30:J32)</f>
        <v>0</v>
      </c>
      <c r="K33" s="8">
        <f>SUM(K30:K32)</f>
        <v>0</v>
      </c>
      <c r="L33" s="8">
        <f>SUM(L30:L32)</f>
        <v>0</v>
      </c>
      <c r="M33" s="8">
        <f>SUM(M30:M32)</f>
        <v>0</v>
      </c>
      <c r="N33" s="8">
        <f>SUM(N30:N32)</f>
        <v>0</v>
      </c>
      <c r="O33" s="8">
        <f>SUM(O30:O32)</f>
        <v>0</v>
      </c>
      <c r="P33" s="8">
        <f>SUM(D33:O33)</f>
        <v>0</v>
      </c>
    </row>
    <row r="35" spans="1:3" x14ac:dyDescent="0.25">
      <c r="A35" s="5">
        <v>25</v>
      </c>
      <c r="B35" s="5" t="s">
        <v>64</v>
      </c>
      <c r="C35" s="5" t="s">
        <v>24</v>
      </c>
    </row>
    <row r="36" ht="22" customHeight="1" spans="1:18" x14ac:dyDescent="0.25">
      <c r="A36">
        <v>26</v>
      </c>
      <c r="B36" t="s">
        <v>65</v>
      </c>
      <c r="C36" t="s">
        <v>26</v>
      </c>
      <c r="D36" s="6">
        <v>0</v>
      </c>
      <c r="E36" s="6">
        <v>35000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7">
        <f>SUM(D36:O36)</f>
        <v>0</v>
      </c>
      <c r="R36" t="s">
        <v>66</v>
      </c>
    </row>
    <row r="37" ht="22" customHeight="1" spans="1:18" x14ac:dyDescent="0.25">
      <c r="A37">
        <v>27</v>
      </c>
      <c r="B37" t="s">
        <v>67</v>
      </c>
      <c r="C37" t="s">
        <v>26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7">
        <f>SUM(D37:O37)</f>
        <v>0</v>
      </c>
      <c r="R37" t="s">
        <v>68</v>
      </c>
    </row>
    <row r="38" ht="22" customHeight="1" spans="1:18" x14ac:dyDescent="0.25">
      <c r="A38">
        <v>28</v>
      </c>
      <c r="B38" t="s">
        <v>69</v>
      </c>
      <c r="C38" t="s">
        <v>26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f>SUM(D38:O38)</f>
        <v>0</v>
      </c>
      <c r="R38" t="s">
        <v>70</v>
      </c>
    </row>
    <row r="39" ht="22" customHeight="1" spans="1:18" x14ac:dyDescent="0.25">
      <c r="A39">
        <v>29</v>
      </c>
      <c r="B39" t="s">
        <v>71</v>
      </c>
      <c r="C39" t="s">
        <v>26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7">
        <f>SUM(D39:O39)</f>
        <v>0</v>
      </c>
      <c r="R39" t="s">
        <v>72</v>
      </c>
    </row>
    <row r="40" ht="22" customHeight="1" spans="1:18" x14ac:dyDescent="0.25">
      <c r="A40">
        <v>30</v>
      </c>
      <c r="B40" t="s">
        <v>73</v>
      </c>
      <c r="C40" t="s">
        <v>26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7">
        <f>SUM(D40:O40)</f>
        <v>0</v>
      </c>
      <c r="R40" t="s">
        <v>74</v>
      </c>
    </row>
    <row r="41" spans="1:16" x14ac:dyDescent="0.25">
      <c r="A41" s="8">
        <v>31</v>
      </c>
      <c r="B41" s="8" t="s">
        <v>75</v>
      </c>
      <c r="C41" s="8" t="s">
        <v>35</v>
      </c>
      <c r="D41" s="8">
        <f>SUM(D36:D40)</f>
        <v>0</v>
      </c>
      <c r="E41" s="8">
        <f>SUM(E36:E40)</f>
        <v>0</v>
      </c>
      <c r="F41" s="8">
        <f>SUM(F36:F40)</f>
        <v>0</v>
      </c>
      <c r="G41" s="8">
        <f>SUM(G36:G40)</f>
        <v>0</v>
      </c>
      <c r="H41" s="8">
        <f>SUM(H36:H40)</f>
        <v>0</v>
      </c>
      <c r="I41" s="8">
        <f>SUM(I36:I40)</f>
        <v>0</v>
      </c>
      <c r="J41" s="8">
        <f>SUM(J36:J40)</f>
        <v>0</v>
      </c>
      <c r="K41" s="8">
        <f>SUM(K36:K40)</f>
        <v>0</v>
      </c>
      <c r="L41" s="8">
        <f>SUM(L36:L40)</f>
        <v>0</v>
      </c>
      <c r="M41" s="8">
        <f>SUM(M36:M40)</f>
        <v>0</v>
      </c>
      <c r="N41" s="8">
        <f>SUM(N36:N40)</f>
        <v>0</v>
      </c>
      <c r="O41" s="8">
        <f>SUM(O36:O40)</f>
        <v>0</v>
      </c>
      <c r="P41" s="8">
        <f>SUM(D41:O41)</f>
        <v>0</v>
      </c>
    </row>
    <row r="43" spans="1:18" x14ac:dyDescent="0.25">
      <c r="A43" s="8">
        <v>32</v>
      </c>
      <c r="B43" s="8" t="s">
        <v>76</v>
      </c>
      <c r="C43" s="8" t="s">
        <v>35</v>
      </c>
      <c r="D43" s="8">
        <f>D13+D21+D27+D33+D41</f>
        <v>0</v>
      </c>
      <c r="E43" s="8">
        <f>E13+E21+E27+E33+E41</f>
        <v>0</v>
      </c>
      <c r="F43" s="8">
        <f>F13+F21+F27+F33+F41</f>
        <v>0</v>
      </c>
      <c r="G43" s="8">
        <f>G13+G21+G27+G33+G41</f>
        <v>0</v>
      </c>
      <c r="H43" s="8">
        <f>H13+H21+H27+H33+H41</f>
        <v>0</v>
      </c>
      <c r="I43" s="8">
        <f>I13+I21+I27+I33+I41</f>
        <v>0</v>
      </c>
      <c r="J43" s="8">
        <f>J13+J21+J27+J33+J41</f>
        <v>0</v>
      </c>
      <c r="K43" s="8">
        <f>K13+K21+K27+K33+K41</f>
        <v>0</v>
      </c>
      <c r="L43" s="8">
        <f>L13+L21+L27+L33+L41</f>
        <v>0</v>
      </c>
      <c r="M43" s="8">
        <f>M13+M21+M27+M33+M41</f>
        <v>0</v>
      </c>
      <c r="N43" s="8">
        <f>N13+N21+N27+N33+N41</f>
        <v>0</v>
      </c>
      <c r="O43" s="8">
        <f>O13+O21+O27+O33+O41</f>
        <v>0</v>
      </c>
      <c r="P43" s="8">
        <f>SUM(D43:O43)</f>
        <v>0</v>
      </c>
      <c r="R43" s="8" t="s">
        <v>77</v>
      </c>
    </row>
    <row r="44" spans="1:18" x14ac:dyDescent="0.25">
      <c r="A44" s="9">
        <v>33</v>
      </c>
      <c r="B44" s="9" t="s">
        <v>78</v>
      </c>
      <c r="C44" s="9" t="s">
        <v>79</v>
      </c>
      <c r="D44" s="9">
        <f>D7+D43</f>
        <v>0</v>
      </c>
      <c r="E44" s="9">
        <f>E7+E43</f>
        <v>0</v>
      </c>
      <c r="F44" s="9">
        <f>F7+F43</f>
        <v>0</v>
      </c>
      <c r="G44" s="9">
        <f>G7+G43</f>
        <v>0</v>
      </c>
      <c r="H44" s="9">
        <f>H7+H43</f>
        <v>0</v>
      </c>
      <c r="I44" s="9">
        <f>I7+I43</f>
        <v>0</v>
      </c>
      <c r="J44" s="9">
        <f>J7+J43</f>
        <v>0</v>
      </c>
      <c r="K44" s="9">
        <f>K7+K43</f>
        <v>0</v>
      </c>
      <c r="L44" s="9">
        <f>L7+L43</f>
        <v>0</v>
      </c>
      <c r="M44" s="9">
        <f>M7+M43</f>
        <v>0</v>
      </c>
      <c r="N44" s="9">
        <f>N7+N43</f>
        <v>0</v>
      </c>
      <c r="O44" s="9">
        <f>O7+O43</f>
        <v>0</v>
      </c>
      <c r="P44" s="9">
        <f>O44</f>
        <v>0</v>
      </c>
      <c r="R44" s="9" t="s">
        <v>80</v>
      </c>
    </row>
  </sheetData>
  <autoFilter ref="A6:R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2026 Direct-Method Cash Flow Challenge Template</dc:title>
  <cp:lastModifiedBy>Unknown</cp:lastModifiedBy>
  <dcterms:created xsi:type="dcterms:W3CDTF">2026-05-14T18:57:12Z</dcterms:created>
  <dcterms:modified xsi:type="dcterms:W3CDTF">2026-05-14T18:57:12Z</dcterms:modified>
</cp:coreProperties>
</file>