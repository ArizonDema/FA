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quidity Flight Plan" state="visible" r:id="rId4"/>
  </sheets>
  <calcPr calcId="171027" fullCalcOnLoad="1"/>
</workbook>
</file>

<file path=xl/sharedStrings.xml><?xml version="1.0" encoding="utf-8"?>
<sst xmlns="http://schemas.openxmlformats.org/spreadsheetml/2006/main" count="164" uniqueCount="102">
  <si>
    <t>Liquidity Flight Plan</t>
  </si>
  <si>
    <t>Scenario</t>
  </si>
  <si>
    <t>Board view</t>
  </si>
  <si>
    <t>Currency</t>
  </si>
  <si>
    <t>USD</t>
  </si>
  <si>
    <t>Prepared for</t>
  </si>
  <si>
    <t>Adversarial analyzer check</t>
  </si>
  <si>
    <t>Signal map</t>
  </si>
  <si>
    <t>Do not type account names here</t>
  </si>
  <si>
    <t>Cash lane</t>
  </si>
  <si>
    <t>Cash behavior</t>
  </si>
  <si>
    <t>Owner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</si>
  <si>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</si>
  <si>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</si>
  <si>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</si>
  <si>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</si>
  <si>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</si>
  <si>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</si>
  <si>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</si>
  <si>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</si>
  <si>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</si>
  <si>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</si>
  <si>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</si>
  <si>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</si>
  <si>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check</t>
  </si>
  <si>
    <t>Analyzer notes</t>
  </si>
  <si>
    <t>Runway</t>
  </si>
  <si>
    <t>anchor</t>
  </si>
  <si>
    <t>opening</t>
  </si>
  <si>
    <t>Cash at start of runway</t>
  </si>
  <si>
    <t>system</t>
  </si>
  <si>
    <t>opening target</t>
  </si>
  <si>
    <t>Cash-in flywheel</t>
  </si>
  <si>
    <t>front door</t>
  </si>
  <si>
    <t>customer</t>
  </si>
  <si>
    <t>Customer money landed</t>
  </si>
  <si>
    <t>customer receipts</t>
  </si>
  <si>
    <t>edge</t>
  </si>
  <si>
    <t>other</t>
  </si>
  <si>
    <t>Refunds, rebates, and odd receipts</t>
  </si>
  <si>
    <t>other operating inflow</t>
  </si>
  <si>
    <t>subtotal</t>
  </si>
  <si>
    <t>calc</t>
  </si>
  <si>
    <t>Topline cash generated</t>
  </si>
  <si>
    <t>formula</t>
  </si>
  <si>
    <t>formula only</t>
  </si>
  <si>
    <t>Runway burn</t>
  </si>
  <si>
    <t>partners</t>
  </si>
  <si>
    <t>operating</t>
  </si>
  <si>
    <t>Marketplace partner settlements</t>
  </si>
  <si>
    <t>supplier cash</t>
  </si>
  <si>
    <t>people</t>
  </si>
  <si>
    <t>People runway spend</t>
  </si>
  <si>
    <t>payroll cash</t>
  </si>
  <si>
    <t>space</t>
  </si>
  <si>
    <t>Studio and space commitment cash</t>
  </si>
  <si>
    <t>rent/facilities</t>
  </si>
  <si>
    <t>demand</t>
  </si>
  <si>
    <t>Audience acquisition cash</t>
  </si>
  <si>
    <t>marketing cash</t>
  </si>
  <si>
    <t>platform</t>
  </si>
  <si>
    <t>Operating backbone cash</t>
  </si>
  <si>
    <t>admin/overhead</t>
  </si>
  <si>
    <t>civic</t>
  </si>
  <si>
    <t>Government remittance cash</t>
  </si>
  <si>
    <t>tax cash</t>
  </si>
  <si>
    <t>Operating cash drag</t>
  </si>
  <si>
    <t>Long-game build</t>
  </si>
  <si>
    <t>equipment</t>
  </si>
  <si>
    <t>investing</t>
  </si>
  <si>
    <t>Workshop kit purchases</t>
  </si>
  <si>
    <t>capex</t>
  </si>
  <si>
    <t>software</t>
  </si>
  <si>
    <t>Code asset capitalization</t>
  </si>
  <si>
    <t>software capex</t>
  </si>
  <si>
    <t>exit</t>
  </si>
  <si>
    <t>Equipment resale receipts</t>
  </si>
  <si>
    <t>asset sale</t>
  </si>
  <si>
    <t>Long-game cash swing</t>
  </si>
  <si>
    <t>Capital oxygen</t>
  </si>
  <si>
    <t>borrow</t>
  </si>
  <si>
    <t>financing</t>
  </si>
  <si>
    <t>Line-of-credit oxygen</t>
  </si>
  <si>
    <t>debt draw</t>
  </si>
  <si>
    <t>repay</t>
  </si>
  <si>
    <t>Lender principal sendback</t>
  </si>
  <si>
    <t>debt repay</t>
  </si>
  <si>
    <t>cost</t>
  </si>
  <si>
    <t>Borrowing cost cash</t>
  </si>
  <si>
    <t>interest paid</t>
  </si>
  <si>
    <t>sponsors</t>
  </si>
  <si>
    <t>Sponsor oxygen</t>
  </si>
  <si>
    <t>equity in</t>
  </si>
  <si>
    <t>owners</t>
  </si>
  <si>
    <t>Owner cash sweeps</t>
  </si>
  <si>
    <t>distributions</t>
  </si>
  <si>
    <t>Capital stack cash swing</t>
  </si>
  <si>
    <t>net</t>
  </si>
  <si>
    <t>Net runway change</t>
  </si>
  <si>
    <t>closing</t>
  </si>
  <si>
    <t>Cash at end of runway</t>
  </si>
  <si>
    <t>closing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</si>
</sst>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($#,##0);-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b/>
      <color rgb="17365D"/>
      <sz val="11"/>
      <name val="Carlito"/>
    </font>
    <font>
      <color rgb="1F2933"/>
      <sz val="11"/>
      <name val="Carlito"/>
    </font>
    <font>
      <b/>
      <color rgb="102A43"/>
      <sz val="11"/>
      <name val="Carlito"/>
    </font>
    <font>
      <b/>
      <color rgb="1B5E20"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9EAF7"/>
      </patternFill>
    </fill>
    <fill>
      <patternFill patternType="solid">
        <fgColor rgb="EEF2F6"/>
      </patternFill>
    </fill>
    <fill>
      <patternFill patternType="solid">
        <fgColor rgb="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/>
    <xf numFmtId="0" fontId="3" fillId="0" borderId="0" xfId="0" applyFont="1"/>
    <xf numFmtId="0" fontId="4" fillId="4" borderId="0" xfId="0" applyFont="1" applyFill="1" applyAlignment="1">
      <alignment wrapText="1"/>
    </xf>
    <xf numFmtId="164" fontId="4" fillId="4" borderId="0" xfId="0" applyNumberFormat="1" applyFont="1" applyFill="1"/>
    <xf numFmtId="0" fontId="4" fillId="4" borderId="0" xfId="0" applyFont="1" applyFill="1"/>
    <xf numFmtId="0" fontId="5" fillId="5" borderId="0" xfId="0" applyFont="1" applyFill="1" applyAlignment="1">
      <alignment wrapText="1"/>
    </xf>
    <xf numFmtId="164" fontId="5" fillId="5" borderId="0" xfId="0" applyNumberFormat="1" applyFon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3"/>
  <sheetViews>
    <sheetView workbookViewId="0" showGridLines="0" zoomScale="100" zoomScaleNormal="100"/>
  </sheetViews>
  <sheetFormatPr defaultRowHeight="15" outlineLevelRow="0" outlineLevelCol="0" x14ac:dyDescent="0"/>
  <cols>
    <col min="1" max="1" width="15.479999542236328" customWidth="1"/>
    <col min="2" max="2" width="12.109999656677246" customWidth="1"/>
    <col min="3" max="3" width="11.4399995803833" customWidth="1"/>
    <col min="4" max="4" width="28.940000534057617" customWidth="1"/>
    <col min="5" max="5" width="10.09000015258789" customWidth="1"/>
    <col min="6" max="18" width="9.829999923706055" customWidth="1"/>
    <col min="19" max="19" width="16.81999969482422" customWidth="1"/>
  </cols>
  <sheetData>
    <row r="2" spans="1:19" x14ac:dyDescent="0.25">
      <c r="A2" s="1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5" spans="1:19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2" t="s">
        <v>22</v>
      </c>
      <c r="Q5" s="2" t="s">
        <v>23</v>
      </c>
      <c r="R5" s="2" t="s">
        <v>24</v>
      </c>
      <c r="S5" s="2" t="s">
        <v>25</v>
      </c>
    </row>
    <row r="6" spans="1:19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4">
        <v>0</v>
      </c>
      <c r="G6" s="4">
        <v>99450</v>
      </c>
      <c r="H6" s="4">
        <v>146970</v>
      </c>
      <c r="I6" s="4">
        <v>154475</v>
      </c>
      <c r="J6" s="4">
        <v>184000</v>
      </c>
      <c r="K6" s="4">
        <v>211495</v>
      </c>
      <c r="L6" s="4">
        <v>228575</v>
      </c>
      <c r="M6" s="4">
        <v>228575</v>
      </c>
      <c r="N6" s="4">
        <v>228575</v>
      </c>
      <c r="O6" s="4">
        <v>228575</v>
      </c>
      <c r="P6" s="4">
        <v>228575</v>
      </c>
      <c r="Q6" s="4">
        <v>228575</v>
      </c>
      <c r="R6" s="4">
        <f>SUM(F6:Q6)</f>
        <v>0</v>
      </c>
      <c r="S6" s="5" t="s">
        <v>31</v>
      </c>
    </row>
    <row r="7" spans="1:19" x14ac:dyDescent="0.25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</row>
    <row r="8" spans="1:19" x14ac:dyDescent="0.25">
      <c r="A8" s="3" t="s">
        <v>32</v>
      </c>
      <c r="B8" s="3" t="s">
        <v>33</v>
      </c>
      <c r="C8" s="3" t="s">
        <v>34</v>
      </c>
      <c r="D8" s="3" t="s">
        <v>35</v>
      </c>
      <c r="E8" s="3" t="s">
        <v>30</v>
      </c>
      <c r="F8" s="4">
        <v>39000</v>
      </c>
      <c r="G8" s="4">
        <v>41000</v>
      </c>
      <c r="H8" s="4">
        <v>43000</v>
      </c>
      <c r="I8" s="4">
        <v>45000</v>
      </c>
      <c r="J8" s="4">
        <v>59000</v>
      </c>
      <c r="K8" s="4">
        <v>49500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f>SUM(F8:Q8)</f>
        <v>0</v>
      </c>
      <c r="S8" s="5" t="s">
        <v>36</v>
      </c>
    </row>
    <row r="9" spans="1:19" x14ac:dyDescent="0.25">
      <c r="A9" s="3" t="s">
        <v>32</v>
      </c>
      <c r="B9" s="3" t="s">
        <v>37</v>
      </c>
      <c r="C9" s="3" t="s">
        <v>38</v>
      </c>
      <c r="D9" s="3" t="s">
        <v>39</v>
      </c>
      <c r="E9" s="3" t="s">
        <v>30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f>SUM(F9:Q9)</f>
        <v>0</v>
      </c>
      <c r="S9" s="5" t="s">
        <v>40</v>
      </c>
    </row>
    <row r="10" spans="1:19" x14ac:dyDescent="0.25">
      <c r="A10" s="6" t="s">
        <v>32</v>
      </c>
      <c r="B10" s="6" t="s">
        <v>41</v>
      </c>
      <c r="C10" s="6" t="s">
        <v>42</v>
      </c>
      <c r="D10" s="6" t="s">
        <v>43</v>
      </c>
      <c r="E10" s="6" t="s">
        <v>44</v>
      </c>
      <c r="F10" s="7">
        <f>SUM(F8:F9)</f>
        <v>0</v>
      </c>
      <c r="G10" s="7">
        <f>SUM(G8:G9)</f>
        <v>0</v>
      </c>
      <c r="H10" s="7">
        <f>SUM(H8:H9)</f>
        <v>0</v>
      </c>
      <c r="I10" s="7">
        <f>SUM(I8:I9)</f>
        <v>0</v>
      </c>
      <c r="J10" s="7">
        <f>SUM(J8:J9)</f>
        <v>0</v>
      </c>
      <c r="K10" s="7">
        <f>SUM(K8:K9)</f>
        <v>0</v>
      </c>
      <c r="L10" s="7">
        <f>SUM(L8:L9)</f>
        <v>0</v>
      </c>
      <c r="M10" s="7">
        <f>SUM(M8:M9)</f>
        <v>0</v>
      </c>
      <c r="N10" s="7">
        <f>SUM(N8:N9)</f>
        <v>0</v>
      </c>
      <c r="O10" s="7">
        <f>SUM(O8:O9)</f>
        <v>0</v>
      </c>
      <c r="P10" s="7">
        <f>SUM(P8:P9)</f>
        <v>0</v>
      </c>
      <c r="Q10" s="7">
        <f>SUM(Q8:Q9)</f>
        <v>0</v>
      </c>
      <c r="R10" s="7">
        <f>SUM(F10:Q10)</f>
        <v>0</v>
      </c>
      <c r="S10" s="8" t="s">
        <v>45</v>
      </c>
    </row>
    <row r="11" spans="1:19" x14ac:dyDescent="0.25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</row>
    <row r="12" spans="1:19" x14ac:dyDescent="0.25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30</v>
      </c>
      <c r="F12" s="4">
        <v>4410</v>
      </c>
      <c r="G12" s="4">
        <v>4540</v>
      </c>
      <c r="H12" s="4">
        <v>4605</v>
      </c>
      <c r="I12" s="4">
        <v>4735</v>
      </c>
      <c r="J12" s="4">
        <v>4865</v>
      </c>
      <c r="K12" s="4">
        <v>4930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f>SUM(F12:Q12)</f>
        <v>0</v>
      </c>
      <c r="S12" s="5" t="s">
        <v>50</v>
      </c>
    </row>
    <row r="13" spans="1:19" x14ac:dyDescent="0.25">
      <c r="A13" s="3" t="s">
        <v>46</v>
      </c>
      <c r="B13" s="3" t="s">
        <v>51</v>
      </c>
      <c r="C13" s="3" t="s">
        <v>48</v>
      </c>
      <c r="D13" s="3" t="s">
        <v>52</v>
      </c>
      <c r="E13" s="3" t="s">
        <v>30</v>
      </c>
      <c r="F13" s="4">
        <v>12000</v>
      </c>
      <c r="G13" s="4">
        <v>12500</v>
      </c>
      <c r="H13" s="4">
        <v>13000</v>
      </c>
      <c r="I13" s="4">
        <v>13500</v>
      </c>
      <c r="J13" s="4">
        <v>14000</v>
      </c>
      <c r="K13" s="4">
        <v>14500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f>SUM(F13:Q13)</f>
        <v>0</v>
      </c>
      <c r="S13" s="5" t="s">
        <v>53</v>
      </c>
    </row>
    <row r="14" spans="1:19" x14ac:dyDescent="0.25">
      <c r="A14" s="3" t="s">
        <v>46</v>
      </c>
      <c r="B14" s="3" t="s">
        <v>54</v>
      </c>
      <c r="C14" s="3" t="s">
        <v>48</v>
      </c>
      <c r="D14" s="3" t="s">
        <v>55</v>
      </c>
      <c r="E14" s="3" t="s">
        <v>30</v>
      </c>
      <c r="F14" s="4">
        <v>5400</v>
      </c>
      <c r="G14" s="4">
        <v>900</v>
      </c>
      <c r="H14" s="4">
        <v>950</v>
      </c>
      <c r="I14" s="4">
        <v>950</v>
      </c>
      <c r="J14" s="4">
        <v>1000</v>
      </c>
      <c r="K14" s="4">
        <v>1000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f>SUM(F14:Q14)</f>
        <v>0</v>
      </c>
      <c r="S14" s="5" t="s">
        <v>56</v>
      </c>
    </row>
    <row r="15" spans="1:19" x14ac:dyDescent="0.25">
      <c r="A15" s="3" t="s">
        <v>46</v>
      </c>
      <c r="B15" s="3" t="s">
        <v>57</v>
      </c>
      <c r="C15" s="3" t="s">
        <v>48</v>
      </c>
      <c r="D15" s="3" t="s">
        <v>58</v>
      </c>
      <c r="E15" s="3" t="s">
        <v>30</v>
      </c>
      <c r="F15" s="4">
        <v>2300</v>
      </c>
      <c r="G15" s="4">
        <v>2400</v>
      </c>
      <c r="H15" s="4">
        <v>2550</v>
      </c>
      <c r="I15" s="4">
        <v>2650</v>
      </c>
      <c r="J15" s="4">
        <v>2750</v>
      </c>
      <c r="K15" s="4">
        <v>2850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f>SUM(F15:Q15)</f>
        <v>0</v>
      </c>
      <c r="S15" s="5" t="s">
        <v>59</v>
      </c>
    </row>
    <row r="16" spans="1:19" x14ac:dyDescent="0.25">
      <c r="A16" s="3" t="s">
        <v>46</v>
      </c>
      <c r="B16" s="3" t="s">
        <v>60</v>
      </c>
      <c r="C16" s="3" t="s">
        <v>48</v>
      </c>
      <c r="D16" s="3" t="s">
        <v>61</v>
      </c>
      <c r="E16" s="3" t="s">
        <v>30</v>
      </c>
      <c r="F16" s="4">
        <v>14700</v>
      </c>
      <c r="G16" s="4">
        <v>5320</v>
      </c>
      <c r="H16" s="4">
        <v>5490</v>
      </c>
      <c r="I16" s="4">
        <v>5660</v>
      </c>
      <c r="J16" s="4">
        <v>5830</v>
      </c>
      <c r="K16" s="4">
        <v>6000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f>SUM(F16:Q16)</f>
        <v>0</v>
      </c>
      <c r="S16" s="5" t="s">
        <v>62</v>
      </c>
    </row>
    <row r="17" spans="1:19" x14ac:dyDescent="0.25">
      <c r="A17" s="3" t="s">
        <v>46</v>
      </c>
      <c r="B17" s="3" t="s">
        <v>63</v>
      </c>
      <c r="C17" s="3" t="s">
        <v>48</v>
      </c>
      <c r="D17" s="3" t="s">
        <v>64</v>
      </c>
      <c r="E17" s="3" t="s">
        <v>30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f>SUM(F17:Q17)</f>
        <v>0</v>
      </c>
      <c r="S17" s="5" t="s">
        <v>65</v>
      </c>
    </row>
    <row r="18" spans="1:19" x14ac:dyDescent="0.25">
      <c r="A18" s="6" t="s">
        <v>46</v>
      </c>
      <c r="B18" s="6" t="s">
        <v>41</v>
      </c>
      <c r="C18" s="6" t="s">
        <v>42</v>
      </c>
      <c r="D18" s="6" t="s">
        <v>66</v>
      </c>
      <c r="E18" s="6" t="s">
        <v>44</v>
      </c>
      <c r="F18" s="7">
        <f>SUM(F12:F17)</f>
        <v>0</v>
      </c>
      <c r="G18" s="7">
        <f>SUM(G12:G17)</f>
        <v>0</v>
      </c>
      <c r="H18" s="7">
        <f>SUM(H12:H17)</f>
        <v>0</v>
      </c>
      <c r="I18" s="7">
        <f>SUM(I12:I17)</f>
        <v>0</v>
      </c>
      <c r="J18" s="7">
        <f>SUM(J12:J17)</f>
        <v>0</v>
      </c>
      <c r="K18" s="7">
        <f>SUM(K12:K17)</f>
        <v>0</v>
      </c>
      <c r="L18" s="7">
        <f>SUM(L12:L17)</f>
        <v>0</v>
      </c>
      <c r="M18" s="7">
        <f>SUM(M12:M17)</f>
        <v>0</v>
      </c>
      <c r="N18" s="7">
        <f>SUM(N12:N17)</f>
        <v>0</v>
      </c>
      <c r="O18" s="7">
        <f>SUM(O12:O17)</f>
        <v>0</v>
      </c>
      <c r="P18" s="7">
        <f>SUM(P12:P17)</f>
        <v>0</v>
      </c>
      <c r="Q18" s="7">
        <f>SUM(Q12:Q17)</f>
        <v>0</v>
      </c>
      <c r="R18" s="7">
        <f>SUM(F18:Q18)</f>
        <v>0</v>
      </c>
      <c r="S18" s="8" t="s">
        <v>45</v>
      </c>
    </row>
    <row r="19" spans="1:19" x14ac:dyDescent="0.25">
      <c r="A19" s="3"/>
      <c r="B19" s="3"/>
      <c r="C19" s="3"/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25">
      <c r="A20" s="3" t="s">
        <v>67</v>
      </c>
      <c r="B20" s="3" t="s">
        <v>68</v>
      </c>
      <c r="C20" s="3" t="s">
        <v>69</v>
      </c>
      <c r="D20" s="3" t="s">
        <v>70</v>
      </c>
      <c r="E20" s="3" t="s">
        <v>30</v>
      </c>
      <c r="F20" s="4">
        <v>18000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f>SUM(F20:Q20)</f>
        <v>0</v>
      </c>
      <c r="S20" s="5" t="s">
        <v>71</v>
      </c>
    </row>
    <row r="21" spans="1:19" x14ac:dyDescent="0.25">
      <c r="A21" s="3" t="s">
        <v>67</v>
      </c>
      <c r="B21" s="3" t="s">
        <v>72</v>
      </c>
      <c r="C21" s="3" t="s">
        <v>69</v>
      </c>
      <c r="D21" s="3" t="s">
        <v>73</v>
      </c>
      <c r="E21" s="3" t="s">
        <v>30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f>SUM(F21:Q21)</f>
        <v>0</v>
      </c>
      <c r="S21" s="5" t="s">
        <v>74</v>
      </c>
    </row>
    <row r="22" spans="1:19" x14ac:dyDescent="0.25">
      <c r="A22" s="3" t="s">
        <v>67</v>
      </c>
      <c r="B22" s="3" t="s">
        <v>75</v>
      </c>
      <c r="C22" s="3" t="s">
        <v>69</v>
      </c>
      <c r="D22" s="3" t="s">
        <v>76</v>
      </c>
      <c r="E22" s="3" t="s">
        <v>30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f>SUM(F22:Q22)</f>
        <v>0</v>
      </c>
      <c r="S22" s="5" t="s">
        <v>77</v>
      </c>
    </row>
    <row r="23" spans="1:19" x14ac:dyDescent="0.25">
      <c r="A23" s="6" t="s">
        <v>67</v>
      </c>
      <c r="B23" s="6" t="s">
        <v>41</v>
      </c>
      <c r="C23" s="6" t="s">
        <v>42</v>
      </c>
      <c r="D23" s="6" t="s">
        <v>78</v>
      </c>
      <c r="E23" s="6" t="s">
        <v>44</v>
      </c>
      <c r="F23" s="7">
        <f>SUM(F20:F22)</f>
        <v>0</v>
      </c>
      <c r="G23" s="7">
        <f>SUM(G20:G22)</f>
        <v>0</v>
      </c>
      <c r="H23" s="7">
        <f>SUM(H20:H22)</f>
        <v>0</v>
      </c>
      <c r="I23" s="7">
        <f>SUM(I20:I22)</f>
        <v>0</v>
      </c>
      <c r="J23" s="7">
        <f>SUM(J20:J22)</f>
        <v>0</v>
      </c>
      <c r="K23" s="7">
        <f>SUM(K20:K22)</f>
        <v>0</v>
      </c>
      <c r="L23" s="7">
        <f>SUM(L20:L22)</f>
        <v>0</v>
      </c>
      <c r="M23" s="7">
        <f>SUM(M20:M22)</f>
        <v>0</v>
      </c>
      <c r="N23" s="7">
        <f>SUM(N20:N22)</f>
        <v>0</v>
      </c>
      <c r="O23" s="7">
        <f>SUM(O20:O22)</f>
        <v>0</v>
      </c>
      <c r="P23" s="7">
        <f>SUM(P20:P22)</f>
        <v>0</v>
      </c>
      <c r="Q23" s="7">
        <f>SUM(Q20:Q22)</f>
        <v>0</v>
      </c>
      <c r="R23" s="7">
        <f>SUM(F23:Q23)</f>
        <v>0</v>
      </c>
      <c r="S23" s="8" t="s">
        <v>45</v>
      </c>
    </row>
    <row r="24" spans="1:19" x14ac:dyDescent="0.25">
      <c r="A24" s="3"/>
      <c r="B24" s="3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25">
      <c r="A25" s="3" t="s">
        <v>79</v>
      </c>
      <c r="B25" s="3" t="s">
        <v>80</v>
      </c>
      <c r="C25" s="3" t="s">
        <v>81</v>
      </c>
      <c r="D25" s="3" t="s">
        <v>82</v>
      </c>
      <c r="E25" s="3" t="s">
        <v>30</v>
      </c>
      <c r="F25" s="4">
        <v>0</v>
      </c>
      <c r="G25" s="4">
        <v>35000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f>SUM(F25:Q25)</f>
        <v>0</v>
      </c>
      <c r="S25" s="5" t="s">
        <v>83</v>
      </c>
    </row>
    <row r="26" spans="1:19" x14ac:dyDescent="0.25">
      <c r="A26" s="3" t="s">
        <v>79</v>
      </c>
      <c r="B26" s="3" t="s">
        <v>84</v>
      </c>
      <c r="C26" s="3" t="s">
        <v>81</v>
      </c>
      <c r="D26" s="3" t="s">
        <v>85</v>
      </c>
      <c r="E26" s="3" t="s">
        <v>30</v>
      </c>
      <c r="F26" s="4">
        <v>-2260</v>
      </c>
      <c r="G26" s="4">
        <v>-2320</v>
      </c>
      <c r="H26" s="4">
        <v>-2380</v>
      </c>
      <c r="I26" s="4">
        <v>-2440</v>
      </c>
      <c r="J26" s="4">
        <v>-2500</v>
      </c>
      <c r="K26" s="4">
        <v>-2560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f>SUM(F26:Q26)</f>
        <v>0</v>
      </c>
      <c r="S26" s="5" t="s">
        <v>86</v>
      </c>
    </row>
    <row r="27" spans="1:19" x14ac:dyDescent="0.25">
      <c r="A27" s="3" t="s">
        <v>79</v>
      </c>
      <c r="B27" s="3" t="s">
        <v>87</v>
      </c>
      <c r="C27" s="3" t="s">
        <v>81</v>
      </c>
      <c r="D27" s="3" t="s">
        <v>88</v>
      </c>
      <c r="E27" s="3" t="s">
        <v>30</v>
      </c>
      <c r="F27" s="4">
        <v>-480</v>
      </c>
      <c r="G27" s="4">
        <v>-500</v>
      </c>
      <c r="H27" s="4">
        <v>-520</v>
      </c>
      <c r="I27" s="4">
        <v>-540</v>
      </c>
      <c r="J27" s="4">
        <v>-560</v>
      </c>
      <c r="K27" s="4">
        <v>-580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f>SUM(F27:Q27)</f>
        <v>0</v>
      </c>
      <c r="S27" s="5" t="s">
        <v>89</v>
      </c>
    </row>
    <row r="28" spans="1:19" x14ac:dyDescent="0.25">
      <c r="A28" s="3" t="s">
        <v>79</v>
      </c>
      <c r="B28" s="3" t="s">
        <v>90</v>
      </c>
      <c r="C28" s="3" t="s">
        <v>81</v>
      </c>
      <c r="D28" s="3" t="s">
        <v>91</v>
      </c>
      <c r="E28" s="3" t="s">
        <v>30</v>
      </c>
      <c r="F28" s="4">
        <v>120000</v>
      </c>
      <c r="G28" s="4">
        <v>0</v>
      </c>
      <c r="H28" s="4">
        <v>0</v>
      </c>
      <c r="I28" s="4">
        <v>15000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f>SUM(F28:Q28)</f>
        <v>0</v>
      </c>
      <c r="S28" s="5" t="s">
        <v>92</v>
      </c>
    </row>
    <row r="29" spans="1:19" x14ac:dyDescent="0.25">
      <c r="A29" s="3" t="s">
        <v>79</v>
      </c>
      <c r="B29" s="3" t="s">
        <v>93</v>
      </c>
      <c r="C29" s="3" t="s">
        <v>81</v>
      </c>
      <c r="D29" s="3" t="s">
        <v>94</v>
      </c>
      <c r="E29" s="3" t="s">
        <v>30</v>
      </c>
      <c r="F29" s="4">
        <v>0</v>
      </c>
      <c r="G29" s="4">
        <v>0</v>
      </c>
      <c r="H29" s="4">
        <v>-6000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f>SUM(F29:Q29)</f>
        <v>0</v>
      </c>
      <c r="S29" s="5" t="s">
        <v>95</v>
      </c>
    </row>
    <row r="30" spans="1:19" x14ac:dyDescent="0.25">
      <c r="A30" s="6" t="s">
        <v>79</v>
      </c>
      <c r="B30" s="6" t="s">
        <v>41</v>
      </c>
      <c r="C30" s="6" t="s">
        <v>42</v>
      </c>
      <c r="D30" s="6" t="s">
        <v>96</v>
      </c>
      <c r="E30" s="6" t="s">
        <v>44</v>
      </c>
      <c r="F30" s="7">
        <f>SUM(F25:F29)</f>
        <v>0</v>
      </c>
      <c r="G30" s="7">
        <f>SUM(G25:G29)</f>
        <v>0</v>
      </c>
      <c r="H30" s="7">
        <f>SUM(H25:H29)</f>
        <v>0</v>
      </c>
      <c r="I30" s="7">
        <f>SUM(I25:I29)</f>
        <v>0</v>
      </c>
      <c r="J30" s="7">
        <f>SUM(J25:J29)</f>
        <v>0</v>
      </c>
      <c r="K30" s="7">
        <f>SUM(K25:K29)</f>
        <v>0</v>
      </c>
      <c r="L30" s="7">
        <f>SUM(L25:L29)</f>
        <v>0</v>
      </c>
      <c r="M30" s="7">
        <f>SUM(M25:M29)</f>
        <v>0</v>
      </c>
      <c r="N30" s="7">
        <f>SUM(N25:N29)</f>
        <v>0</v>
      </c>
      <c r="O30" s="7">
        <f>SUM(O25:O29)</f>
        <v>0</v>
      </c>
      <c r="P30" s="7">
        <f>SUM(P25:P29)</f>
        <v>0</v>
      </c>
      <c r="Q30" s="7">
        <f>SUM(Q25:Q29)</f>
        <v>0</v>
      </c>
      <c r="R30" s="7">
        <f>SUM(F30:Q30)</f>
        <v>0</v>
      </c>
      <c r="S30" s="8" t="s">
        <v>45</v>
      </c>
    </row>
    <row r="31" spans="1:19" x14ac:dyDescent="0.25">
      <c r="A31" s="3"/>
      <c r="B31" s="3"/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</row>
    <row r="32" spans="1:19" x14ac:dyDescent="0.25">
      <c r="A32" s="6" t="s">
        <v>26</v>
      </c>
      <c r="B32" s="6" t="s">
        <v>97</v>
      </c>
      <c r="C32" s="6" t="s">
        <v>42</v>
      </c>
      <c r="D32" s="6" t="s">
        <v>98</v>
      </c>
      <c r="E32" s="6" t="s">
        <v>44</v>
      </c>
      <c r="F32" s="7">
        <f>SUM(F8:F9)-SUM(F12:F17)-SUM(F20:F21)+SUM(F22)+SUM(F25:F28)-SUM(F26:F27)-SUM(F29)</f>
        <v>0</v>
      </c>
      <c r="G32" s="7">
        <f>SUM(G8:G9)-SUM(G12:G17)-SUM(G20:G21)+SUM(G22)+SUM(G25:G28)-SUM(G26:G27)-SUM(G29)</f>
        <v>0</v>
      </c>
      <c r="H32" s="7">
        <f>SUM(H8:H9)-SUM(H12:H17)-SUM(H20:H21)+SUM(H22)+SUM(H25:H28)-SUM(H26:H27)-SUM(H29)</f>
        <v>0</v>
      </c>
      <c r="I32" s="7">
        <f>SUM(I8:I9)-SUM(I12:I17)-SUM(I20:I21)+SUM(I22)+SUM(I25:I28)-SUM(I26:I27)-SUM(I29)</f>
        <v>0</v>
      </c>
      <c r="J32" s="7">
        <f>SUM(J8:J9)-SUM(J12:J17)-SUM(J20:J21)+SUM(J22)+SUM(J25:J28)-SUM(J26:J27)-SUM(J29)</f>
        <v>0</v>
      </c>
      <c r="K32" s="7">
        <f>SUM(K8:K9)-SUM(K12:K17)-SUM(K20:K21)+SUM(K22)+SUM(K25:K28)-SUM(K26:K27)-SUM(K29)</f>
        <v>0</v>
      </c>
      <c r="L32" s="7">
        <f>SUM(L8:L9)-SUM(L12:L17)-SUM(L20:L21)+SUM(L22)+SUM(L25:L28)-SUM(L26:L27)-SUM(L29)</f>
        <v>0</v>
      </c>
      <c r="M32" s="7">
        <f>SUM(M8:M9)-SUM(M12:M17)-SUM(M20:M21)+SUM(M22)+SUM(M25:M28)-SUM(M26:M27)-SUM(M29)</f>
        <v>0</v>
      </c>
      <c r="N32" s="7">
        <f>SUM(N8:N9)-SUM(N12:N17)-SUM(N20:N21)+SUM(N22)+SUM(N25:N28)-SUM(N26:N27)-SUM(N29)</f>
        <v>0</v>
      </c>
      <c r="O32" s="7">
        <f>SUM(O8:O9)-SUM(O12:O17)-SUM(O20:O21)+SUM(O22)+SUM(O25:O28)-SUM(O26:O27)-SUM(O29)</f>
        <v>0</v>
      </c>
      <c r="P32" s="7">
        <f>SUM(P8:P9)-SUM(P12:P17)-SUM(P20:P21)+SUM(P22)+SUM(P25:P28)-SUM(P26:P27)-SUM(P29)</f>
        <v>0</v>
      </c>
      <c r="Q32" s="7">
        <f>SUM(Q8:Q9)-SUM(Q12:Q17)-SUM(Q20:Q21)+SUM(Q22)+SUM(Q25:Q28)-SUM(Q26:Q27)-SUM(Q29)</f>
        <v>0</v>
      </c>
      <c r="R32" s="7">
        <f>SUM(F32:Q32)</f>
        <v>0</v>
      </c>
      <c r="S32" s="8" t="s">
        <v>45</v>
      </c>
    </row>
    <row r="33" spans="1:19" x14ac:dyDescent="0.25">
      <c r="A33" s="9" t="s">
        <v>26</v>
      </c>
      <c r="B33" s="9" t="s">
        <v>27</v>
      </c>
      <c r="C33" s="9" t="s">
        <v>99</v>
      </c>
      <c r="D33" s="9" t="s">
        <v>100</v>
      </c>
      <c r="E33" s="9" t="s">
        <v>30</v>
      </c>
      <c r="F33" s="10">
        <v>99450</v>
      </c>
      <c r="G33" s="10">
        <v>146970</v>
      </c>
      <c r="H33" s="10">
        <v>154475</v>
      </c>
      <c r="I33" s="10">
        <v>184000</v>
      </c>
      <c r="J33" s="10">
        <v>211495</v>
      </c>
      <c r="K33" s="10">
        <v>228575</v>
      </c>
      <c r="L33" s="10">
        <v>228575</v>
      </c>
      <c r="M33" s="10">
        <v>228575</v>
      </c>
      <c r="N33" s="10">
        <v>228575</v>
      </c>
      <c r="O33" s="10">
        <v>228575</v>
      </c>
      <c r="P33" s="10">
        <v>228575</v>
      </c>
      <c r="Q33" s="10">
        <v>228575</v>
      </c>
      <c r="R33" s="10">
        <f>SUM(F33:Q33)</f>
        <v>0</v>
      </c>
      <c r="S33" s="11" t="s">
        <v>101</v>
      </c>
    </row>
  </sheetData>
  <mergeCells count="1"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Liquidity Flight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2026-05-12T16:44:00Z</dcterms:created>
  <dcterms:modified xsi:type="dcterms:W3CDTF">2026-05-12T16:44:00Z</dcterms:modified>
</cp:coreProperties>
</file>