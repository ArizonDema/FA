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627fdd104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ity Flight Plan" sheetId="1" r:id="R609c97f78da540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-"/>
  </x:numFmts>
  <x:fonts count="6">
    <x:font>
      <x:sz val="11"/>
      <x:name val="Carlito"/>
    </x:font>
    <x:font>
      <x:b/>
      <x:sz val="18"/>
      <x:color rgb="FFFFFF"/>
      <x:name val="Carlito"/>
    </x:font>
    <x:font>
      <x:b/>
      <x:sz val="11"/>
      <x:color rgb="17365D"/>
      <x:name val="Carlito"/>
    </x:font>
    <x:font>
      <x:sz val="11"/>
      <x:color rgb="1F2933"/>
      <x:name val="Carlito"/>
    </x:font>
    <x:font>
      <x:b/>
      <x:sz val="11"/>
      <x:color rgb="102A43"/>
      <x:name val="Carlito"/>
    </x:font>
    <x:font>
      <x:b/>
      <x:sz val="11"/>
      <x:color rgb="1B5E2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EEF2F6"/>
      </x:patternFill>
    </x:fill>
    <x:fill>
      <x:patternFill patternType="solid">
        <x:fgColor rgb="E8F5E9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/>
    <x:xf numFmtId="0" fontId="4" fillId="4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3" fillId="5" borderId="0" xfId="0" applyNumberFormat="1" applyFont="1" applyFill="1" applyBorder="1"/>
    <x:xf numFmtId="0" fontId="3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5" fillId="5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2484ab5094c2c" /><Relationship Type="http://schemas.openxmlformats.org/officeDocument/2006/relationships/theme" Target="/xl/theme/theme1.xml" Id="R4c0487015da84dc4" /><Relationship Type="http://schemas.openxmlformats.org/officeDocument/2006/relationships/sharedStrings" Target="/xl/sharedStrings.xml" Id="Ra2253020157f4fad" /><Relationship Type="http://schemas.openxmlformats.org/officeDocument/2006/relationships/worksheet" Target="/xl/worksheets/sheet1.xml" Id="R609c97f78da540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2.109999656677246" hidden="0" customWidth="1"/>
    <x:col min="3" max="3" width="11.4399995803833" hidden="0" customWidth="1"/>
    <x:col min="4" max="4" width="28.940000534057617" hidden="0" customWidth="1"/>
    <x:col min="5" max="5" width="10.09000015258789" hidden="0" customWidth="1"/>
    <x:col min="6" max="6" width="9.829999923706055" hidden="0" customWidth="1"/>
    <x:col min="7" max="7" width="9.829999923706055" hidden="0" customWidth="1"/>
    <x:col min="8" max="8" width="9.829999923706055" hidden="0" customWidth="1"/>
    <x:col min="9" max="9" width="9.829999923706055" hidden="0" customWidth="1"/>
    <x:col min="10" max="10" width="9.829999923706055" hidden="0" customWidth="1"/>
    <x:col min="11" max="11" width="9.829999923706055" hidden="0" customWidth="1"/>
    <x:col min="12" max="12" width="9.829999923706055" hidden="0" customWidth="1"/>
    <x:col min="13" max="13" width="9.829999923706055" hidden="0" customWidth="1"/>
    <x:col min="14" max="14" width="9.829999923706055" hidden="0" customWidth="1"/>
    <x:col min="15" max="15" width="9.829999923706055" hidden="0" customWidth="1"/>
    <x:col min="16" max="16" width="9.829999923706055" hidden="0" customWidth="1"/>
    <x:col min="17" max="17" width="9.829999923706055" hidden="0" customWidth="1"/>
    <x:col min="18" max="18" width="9.829999923706055" hidden="0" customWidth="1"/>
    <x:col min="19" max="19" width="16.81999969482422" hidden="0" customWidth="1"/>
  </x:cols>
  <x:sheetData>
    <x:row r="1">
      <x:c r="A1" t="str"/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</x:row>
    <x:row r="2">
      <x:c r="A2" s="3" t="str">
        <x:v>Liquidity Flight Plan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</x:row>
    <x:row r="3">
      <x:c r="A3" t="str">
        <x:v>Scenario</x:v>
      </x:c>
      <x:c r="B3" t="str">
        <x:v>Board view</x:v>
      </x:c>
      <x:c r="C3" t="str">
        <x:v>Currency</x:v>
      </x:c>
      <x:c r="D3" t="str">
        <x:v>USD</x:v>
      </x:c>
      <x:c r="E3" t="str">
        <x:v>Prepared for</x:v>
      </x:c>
      <x:c r="F3" t="str">
        <x:v>Adversarial analyzer check</x:v>
      </x:c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</x:row>
    <x:row r="5">
      <x:c r="A5" s="6" t="str">
        <x:v>Signal map</x:v>
      </x:c>
      <x:c r="B5" s="6" t="str">
        <x:v>Do not type account names here</x:v>
      </x:c>
      <x:c r="C5" s="6" t="str">
        <x:v>Cash lane</x:v>
      </x:c>
      <x:c r="D5" s="6" t="str">
        <x:v>Cash behavior</x:v>
      </x:c>
      <x:c r="E5" s="6" t="str">
        <x:v>Owner</x:v>
      </x:c>
      <x:c r="F5" s="6" t="str">
        <x:v>Jan</x:v>
      </x:c>
      <x:c r="G5" s="6" t="str">
        <x:v>Feb</x:v>
      </x:c>
      <x:c r="H5" s="6" t="str">
        <x:v>Mar</x:v>
      </x:c>
      <x:c r="I5" s="6" t="str">
        <x:v>Apr</x:v>
      </x:c>
      <x:c r="J5" s="6" t="str">
        <x:v>May</x:v>
      </x:c>
      <x:c r="K5" s="6" t="str">
        <x:v>Jun</x:v>
      </x:c>
      <x:c r="L5" s="6" t="str">
        <x:v>Jul</x:v>
      </x:c>
      <x:c r="M5" s="6" t="str">
        <x:v>Aug</x:v>
      </x:c>
      <x:c r="N5" s="6" t="str">
        <x:v>Sep</x:v>
      </x:c>
      <x:c r="O5" s="6" t="str">
        <x:v>Oct</x:v>
      </x:c>
      <x:c r="P5" s="6" t="str">
        <x:v>Nov</x:v>
      </x:c>
      <x:c r="Q5" s="6" t="str">
        <x:v>Dec</x:v>
      </x:c>
      <x:c r="R5" s="6" t="str">
        <x:v>FY check</x:v>
      </x:c>
      <x:c r="S5" s="6" t="str">
        <x:v>Analyzer notes</x:v>
      </x:c>
    </x:row>
    <x:row r="6">
      <x:c r="A6" s="9" t="str">
        <x:v>Runway</x:v>
      </x:c>
      <x:c r="B6" s="9" t="str">
        <x:v>anchor</x:v>
      </x:c>
      <x:c r="C6" s="9" t="str">
        <x:v>opening</x:v>
      </x:c>
      <x:c r="D6" s="9" t="str">
        <x:v>Cash at start of runway</x:v>
      </x:c>
      <x:c r="E6" s="9" t="str">
        <x:v>system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f>SUM(F6:Q6)</x:f>
        <x:v>0</x:v>
      </x:c>
      <x:c r="S6" s="7" t="str">
        <x:v>opening target</x:v>
      </x:c>
    </x:row>
    <x:row r="7">
      <x:c r="A7" s="9" t="str"/>
      <x:c r="B7" s="9" t="str"/>
      <x:c r="C7" s="9" t="str"/>
      <x:c r="D7" s="9" t="str"/>
      <x:c r="E7" s="9" t="str"/>
      <x:c r="F7" s="8" t="str"/>
      <x:c r="G7" s="8" t="str"/>
      <x:c r="H7" s="8" t="str"/>
      <x:c r="I7" s="8" t="str"/>
      <x:c r="J7" s="8" t="str"/>
      <x:c r="K7" s="8" t="str"/>
      <x:c r="L7" s="8" t="str"/>
      <x:c r="M7" s="8" t="str"/>
      <x:c r="N7" s="8" t="str"/>
      <x:c r="O7" s="8" t="str"/>
      <x:c r="P7" s="8" t="str"/>
      <x:c r="Q7" s="8" t="str"/>
      <x:c r="R7" s="8" t="str"/>
      <x:c r="S7" s="7" t="str"/>
    </x:row>
    <x:row r="8">
      <x:c r="A8" s="9" t="str">
        <x:v>Cash-in flywheel</x:v>
      </x:c>
      <x:c r="B8" s="9" t="str">
        <x:v>front door</x:v>
      </x:c>
      <x:c r="C8" s="9" t="str">
        <x:v>customer</x:v>
      </x:c>
      <x:c r="D8" s="9" t="str">
        <x:v>Customer money landed</x:v>
      </x:c>
      <x:c r="E8" s="9" t="str">
        <x:v>system</x:v>
      </x:c>
      <x:c r="F8" s="8" t="n">
        <x:v>0</x:v>
      </x:c>
      <x:c r="G8" s="8" t="n">
        <x:v>0</x:v>
      </x:c>
      <x:c r="H8" s="8" t="n">
        <x:v>0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f>SUM(F8:Q8)</x:f>
        <x:v>0</x:v>
      </x:c>
      <x:c r="S8" s="7" t="str">
        <x:v>customer receipts</x:v>
      </x:c>
    </x:row>
    <x:row r="9">
      <x:c r="A9" s="9" t="str">
        <x:v>Cash-in flywheel</x:v>
      </x:c>
      <x:c r="B9" s="9" t="str">
        <x:v>edge</x:v>
      </x:c>
      <x:c r="C9" s="9" t="str">
        <x:v>other</x:v>
      </x:c>
      <x:c r="D9" s="9" t="str">
        <x:v>Refunds, rebates, and odd receipts</x:v>
      </x:c>
      <x:c r="E9" s="9" t="str">
        <x:v>system</x:v>
      </x:c>
      <x:c r="F9" s="8" t="n">
        <x:v>0</x:v>
      </x:c>
      <x:c r="G9" s="8" t="n">
        <x:v>0</x:v>
      </x:c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f>SUM(F9:Q9)</x:f>
        <x:v>0</x:v>
      </x:c>
      <x:c r="S9" s="7" t="str">
        <x:v>other operating inflow</x:v>
      </x:c>
    </x:row>
    <x:row r="10">
      <x:c r="A10" s="13" t="str">
        <x:v>Cash-in flywheel</x:v>
      </x:c>
      <x:c r="B10" s="13" t="str">
        <x:v>subtotal</x:v>
      </x:c>
      <x:c r="C10" s="13" t="str">
        <x:v>calc</x:v>
      </x:c>
      <x:c r="D10" s="13" t="str">
        <x:v>Topline cash generated</x:v>
      </x:c>
      <x:c r="E10" s="13" t="str">
        <x:v>formula</x:v>
      </x:c>
      <x:c r="F10" s="14" t="n">
        <x:f>SUM(F8:F9)</x:f>
        <x:v>0</x:v>
      </x:c>
      <x:c r="G10" s="14" t="n">
        <x:f>SUM(G8:G9)</x:f>
        <x:v>0</x:v>
      </x:c>
      <x:c r="H10" s="14" t="n">
        <x:f>SUM(H8:H9)</x:f>
        <x:v>0</x:v>
      </x:c>
      <x:c r="I10" s="14" t="n">
        <x:f>SUM(I8:I9)</x:f>
        <x:v>0</x:v>
      </x:c>
      <x:c r="J10" s="14" t="n">
        <x:f>SUM(J8:J9)</x:f>
        <x:v>0</x:v>
      </x:c>
      <x:c r="K10" s="14" t="n">
        <x:f>SUM(K8:K9)</x:f>
        <x:v>0</x:v>
      </x:c>
      <x:c r="L10" s="14" t="n">
        <x:f>SUM(L8:L9)</x:f>
        <x:v>0</x:v>
      </x:c>
      <x:c r="M10" s="14" t="n">
        <x:f>SUM(M8:M9)</x:f>
        <x:v>0</x:v>
      </x:c>
      <x:c r="N10" s="14" t="n">
        <x:f>SUM(N8:N9)</x:f>
        <x:v>0</x:v>
      </x:c>
      <x:c r="O10" s="14" t="n">
        <x:f>SUM(O8:O9)</x:f>
        <x:v>0</x:v>
      </x:c>
      <x:c r="P10" s="14" t="n">
        <x:f>SUM(P8:P9)</x:f>
        <x:v>0</x:v>
      </x:c>
      <x:c r="Q10" s="14" t="n">
        <x:f>SUM(Q8:Q9)</x:f>
        <x:v>0</x:v>
      </x:c>
      <x:c r="R10" s="14" t="n">
        <x:f>SUM(F10:Q10)</x:f>
        <x:v>0</x:v>
      </x:c>
      <x:c r="S10" s="15" t="str">
        <x:v>formula only</x:v>
      </x:c>
    </x:row>
    <x:row r="11">
      <x:c r="A11" s="9" t="str"/>
      <x:c r="B11" s="9" t="str"/>
      <x:c r="C11" s="9" t="str"/>
      <x:c r="D11" s="9" t="str"/>
      <x:c r="E11" s="9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  <x:c r="N11" s="8" t="str"/>
      <x:c r="O11" s="8" t="str"/>
      <x:c r="P11" s="8" t="str"/>
      <x:c r="Q11" s="8" t="str"/>
      <x:c r="R11" s="8" t="str"/>
      <x:c r="S11" s="7" t="str"/>
    </x:row>
    <x:row r="12">
      <x:c r="A12" s="9" t="str">
        <x:v>Runway burn</x:v>
      </x:c>
      <x:c r="B12" s="9" t="str">
        <x:v>partners</x:v>
      </x:c>
      <x:c r="C12" s="9" t="str">
        <x:v>operating</x:v>
      </x:c>
      <x:c r="D12" s="9" t="str">
        <x:v>Marketplace partner settlements</x:v>
      </x:c>
      <x:c r="E12" s="9" t="str">
        <x:v>system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  <x:c r="O12" s="8" t="n">
        <x:v>0</x:v>
      </x:c>
      <x:c r="P12" s="8" t="n">
        <x:v>0</x:v>
      </x:c>
      <x:c r="Q12" s="8" t="n">
        <x:v>0</x:v>
      </x:c>
      <x:c r="R12" s="8" t="n">
        <x:f>SUM(F12:Q12)</x:f>
        <x:v>0</x:v>
      </x:c>
      <x:c r="S12" s="7" t="str">
        <x:v>supplier cash</x:v>
      </x:c>
    </x:row>
    <x:row r="13">
      <x:c r="A13" s="9" t="str">
        <x:v>Runway burn</x:v>
      </x:c>
      <x:c r="B13" s="9" t="str">
        <x:v>people</x:v>
      </x:c>
      <x:c r="C13" s="9" t="str">
        <x:v>operating</x:v>
      </x:c>
      <x:c r="D13" s="9" t="str">
        <x:v>People runway spend</x:v>
      </x:c>
      <x:c r="E13" s="9" t="str">
        <x:v>system</x:v>
      </x:c>
      <x:c r="F13" s="8" t="n">
        <x:v>0</x:v>
      </x:c>
      <x:c r="G13" s="8" t="n">
        <x:v>0</x:v>
      </x:c>
      <x:c r="H13" s="8" t="n">
        <x:v>0</x:v>
      </x:c>
      <x:c r="I13" s="8" t="n">
        <x:v>0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f>SUM(F13:Q13)</x:f>
        <x:v>0</x:v>
      </x:c>
      <x:c r="S13" s="7" t="str">
        <x:v>payroll cash</x:v>
      </x:c>
    </x:row>
    <x:row r="14">
      <x:c r="A14" s="9" t="str">
        <x:v>Runway burn</x:v>
      </x:c>
      <x:c r="B14" s="9" t="str">
        <x:v>space</x:v>
      </x:c>
      <x:c r="C14" s="9" t="str">
        <x:v>operating</x:v>
      </x:c>
      <x:c r="D14" s="9" t="str">
        <x:v>Studio and space commitment cash</x:v>
      </x:c>
      <x:c r="E14" s="9" t="str">
        <x:v>system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0</x:v>
      </x:c>
      <x:c r="P14" s="8" t="n">
        <x:v>0</x:v>
      </x:c>
      <x:c r="Q14" s="8" t="n">
        <x:v>0</x:v>
      </x:c>
      <x:c r="R14" s="8" t="n">
        <x:f>SUM(F14:Q14)</x:f>
        <x:v>0</x:v>
      </x:c>
      <x:c r="S14" s="7" t="str">
        <x:v>rent/facilities</x:v>
      </x:c>
    </x:row>
    <x:row r="15">
      <x:c r="A15" s="9" t="str">
        <x:v>Runway burn</x:v>
      </x:c>
      <x:c r="B15" s="9" t="str">
        <x:v>demand</x:v>
      </x:c>
      <x:c r="C15" s="9" t="str">
        <x:v>operating</x:v>
      </x:c>
      <x:c r="D15" s="9" t="str">
        <x:v>Audience acquisition cash</x:v>
      </x:c>
      <x:c r="E15" s="9" t="str">
        <x:v>system</x:v>
      </x:c>
      <x:c r="F15" s="8" t="n">
        <x:v>0</x:v>
      </x:c>
      <x:c r="G15" s="8" t="n">
        <x:v>0</x:v>
      </x:c>
      <x:c r="H15" s="8" t="n">
        <x:v>0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f>SUM(F15:Q15)</x:f>
        <x:v>0</x:v>
      </x:c>
      <x:c r="S15" s="7" t="str">
        <x:v>marketing cash</x:v>
      </x:c>
    </x:row>
    <x:row r="16">
      <x:c r="A16" s="9" t="str">
        <x:v>Runway burn</x:v>
      </x:c>
      <x:c r="B16" s="9" t="str">
        <x:v>platform</x:v>
      </x:c>
      <x:c r="C16" s="9" t="str">
        <x:v>operating</x:v>
      </x:c>
      <x:c r="D16" s="9" t="str">
        <x:v>Operating backbone cash</x:v>
      </x:c>
      <x:c r="E16" s="9" t="str">
        <x:v>system</x:v>
      </x:c>
      <x:c r="F16" s="8" t="n">
        <x:v>0</x:v>
      </x:c>
      <x:c r="G16" s="8" t="n">
        <x:v>0</x:v>
      </x:c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f>SUM(F16:Q16)</x:f>
        <x:v>0</x:v>
      </x:c>
      <x:c r="S16" s="7" t="str">
        <x:v>admin/overhead</x:v>
      </x:c>
    </x:row>
    <x:row r="17">
      <x:c r="A17" s="9" t="str">
        <x:v>Runway burn</x:v>
      </x:c>
      <x:c r="B17" s="9" t="str">
        <x:v>civic</x:v>
      </x:c>
      <x:c r="C17" s="9" t="str">
        <x:v>operating</x:v>
      </x:c>
      <x:c r="D17" s="9" t="str">
        <x:v>Government remittance cash</x:v>
      </x:c>
      <x:c r="E17" s="9" t="str">
        <x:v>system</x:v>
      </x:c>
      <x:c r="F17" s="8" t="n">
        <x:v>0</x:v>
      </x:c>
      <x:c r="G17" s="8" t="n">
        <x:v>0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0</x:v>
      </x:c>
      <x:c r="R17" s="8" t="n">
        <x:f>SUM(F17:Q17)</x:f>
        <x:v>0</x:v>
      </x:c>
      <x:c r="S17" s="7" t="str">
        <x:v>tax cash</x:v>
      </x:c>
    </x:row>
    <x:row r="18">
      <x:c r="A18" s="13" t="str">
        <x:v>Runway burn</x:v>
      </x:c>
      <x:c r="B18" s="13" t="str">
        <x:v>subtotal</x:v>
      </x:c>
      <x:c r="C18" s="13" t="str">
        <x:v>calc</x:v>
      </x:c>
      <x:c r="D18" s="13" t="str">
        <x:v>Operating cash drag</x:v>
      </x:c>
      <x:c r="E18" s="13" t="str">
        <x:v>formula</x:v>
      </x:c>
      <x:c r="F18" s="14" t="n">
        <x:f>SUM(F12:F17)</x:f>
        <x:v>0</x:v>
      </x:c>
      <x:c r="G18" s="14" t="n">
        <x:f>SUM(G12:G17)</x:f>
        <x:v>0</x:v>
      </x:c>
      <x:c r="H18" s="14" t="n">
        <x:f>SUM(H12:H17)</x:f>
        <x:v>0</x:v>
      </x:c>
      <x:c r="I18" s="14" t="n">
        <x:f>SUM(I12:I17)</x:f>
        <x:v>0</x:v>
      </x:c>
      <x:c r="J18" s="14" t="n">
        <x:f>SUM(J12:J17)</x:f>
        <x:v>0</x:v>
      </x:c>
      <x:c r="K18" s="14" t="n">
        <x:f>SUM(K12:K17)</x:f>
        <x:v>0</x:v>
      </x:c>
      <x:c r="L18" s="14" t="n">
        <x:f>SUM(L12:L17)</x:f>
        <x:v>0</x:v>
      </x:c>
      <x:c r="M18" s="14" t="n">
        <x:f>SUM(M12:M17)</x:f>
        <x:v>0</x:v>
      </x:c>
      <x:c r="N18" s="14" t="n">
        <x:f>SUM(N12:N17)</x:f>
        <x:v>0</x:v>
      </x:c>
      <x:c r="O18" s="14" t="n">
        <x:f>SUM(O12:O17)</x:f>
        <x:v>0</x:v>
      </x:c>
      <x:c r="P18" s="14" t="n">
        <x:f>SUM(P12:P17)</x:f>
        <x:v>0</x:v>
      </x:c>
      <x:c r="Q18" s="14" t="n">
        <x:f>SUM(Q12:Q17)</x:f>
        <x:v>0</x:v>
      </x:c>
      <x:c r="R18" s="14" t="n">
        <x:f>SUM(F18:Q18)</x:f>
        <x:v>0</x:v>
      </x:c>
      <x:c r="S18" s="15" t="str">
        <x:v>formula only</x:v>
      </x:c>
    </x:row>
    <x:row r="19">
      <x:c r="A19" s="9" t="str"/>
      <x:c r="B19" s="9" t="str"/>
      <x:c r="C19" s="9" t="str"/>
      <x:c r="D19" s="9" t="str"/>
      <x:c r="E19" s="9" t="str"/>
      <x:c r="F19" s="8" t="str"/>
      <x:c r="G19" s="8" t="str"/>
      <x:c r="H19" s="8" t="str"/>
      <x:c r="I19" s="8" t="str"/>
      <x:c r="J19" s="8" t="str"/>
      <x:c r="K19" s="8" t="str"/>
      <x:c r="L19" s="8" t="str"/>
      <x:c r="M19" s="8" t="str"/>
      <x:c r="N19" s="8" t="str"/>
      <x:c r="O19" s="8" t="str"/>
      <x:c r="P19" s="8" t="str"/>
      <x:c r="Q19" s="8" t="str"/>
      <x:c r="R19" s="8" t="str"/>
      <x:c r="S19" s="7" t="str"/>
    </x:row>
    <x:row r="20">
      <x:c r="A20" s="9" t="str">
        <x:v>Long-game build</x:v>
      </x:c>
      <x:c r="B20" s="9" t="str">
        <x:v>equipment</x:v>
      </x:c>
      <x:c r="C20" s="9" t="str">
        <x:v>investing</x:v>
      </x:c>
      <x:c r="D20" s="9" t="str">
        <x:v>Workshop kit purchases</x:v>
      </x:c>
      <x:c r="E20" s="9" t="str">
        <x:v>system</x:v>
      </x:c>
      <x:c r="F20" s="8" t="n">
        <x:v>0</x:v>
      </x:c>
      <x:c r="G20" s="8" t="n">
        <x:v>0</x:v>
      </x:c>
      <x:c r="H20" s="8" t="n">
        <x:v>0</x:v>
      </x:c>
      <x:c r="I20" s="8" t="n">
        <x:v>0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8" t="n">
        <x:v>0</x:v>
      </x:c>
      <x:c r="Q20" s="8" t="n">
        <x:v>0</x:v>
      </x:c>
      <x:c r="R20" s="8" t="n">
        <x:f>SUM(F20:Q20)</x:f>
        <x:v>0</x:v>
      </x:c>
      <x:c r="S20" s="7" t="str">
        <x:v>capex</x:v>
      </x:c>
    </x:row>
    <x:row r="21">
      <x:c r="A21" s="9" t="str">
        <x:v>Long-game build</x:v>
      </x:c>
      <x:c r="B21" s="9" t="str">
        <x:v>software</x:v>
      </x:c>
      <x:c r="C21" s="9" t="str">
        <x:v>investing</x:v>
      </x:c>
      <x:c r="D21" s="9" t="str">
        <x:v>Code asset capitalization</x:v>
      </x:c>
      <x:c r="E21" s="9" t="str">
        <x:v>system</x:v>
      </x:c>
      <x:c r="F21" s="8" t="n">
        <x:v>0</x:v>
      </x:c>
      <x:c r="G21" s="8" t="n">
        <x:v>0</x:v>
      </x:c>
      <x:c r="H21" s="8" t="n">
        <x:v>0</x:v>
      </x:c>
      <x:c r="I21" s="8" t="n">
        <x:v>0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8" t="n">
        <x:v>0</x:v>
      </x:c>
      <x:c r="R21" s="8" t="n">
        <x:f>SUM(F21:Q21)</x:f>
        <x:v>0</x:v>
      </x:c>
      <x:c r="S21" s="7" t="str">
        <x:v>software capex</x:v>
      </x:c>
    </x:row>
    <x:row r="22">
      <x:c r="A22" s="9" t="str">
        <x:v>Long-game build</x:v>
      </x:c>
      <x:c r="B22" s="9" t="str">
        <x:v>exit</x:v>
      </x:c>
      <x:c r="C22" s="9" t="str">
        <x:v>investing</x:v>
      </x:c>
      <x:c r="D22" s="9" t="str">
        <x:v>Equipment resale receipts</x:v>
      </x:c>
      <x:c r="E22" s="9" t="str">
        <x:v>system</x:v>
      </x:c>
      <x:c r="F22" s="8" t="n">
        <x:v>0</x:v>
      </x:c>
      <x:c r="G22" s="8" t="n">
        <x:v>0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f>SUM(F22:Q22)</x:f>
        <x:v>0</x:v>
      </x:c>
      <x:c r="S22" s="7" t="str">
        <x:v>asset sale</x:v>
      </x:c>
    </x:row>
    <x:row r="23">
      <x:c r="A23" s="13" t="str">
        <x:v>Long-game build</x:v>
      </x:c>
      <x:c r="B23" s="13" t="str">
        <x:v>subtotal</x:v>
      </x:c>
      <x:c r="C23" s="13" t="str">
        <x:v>calc</x:v>
      </x:c>
      <x:c r="D23" s="13" t="str">
        <x:v>Long-game cash swing</x:v>
      </x:c>
      <x:c r="E23" s="13" t="str">
        <x:v>formula</x:v>
      </x:c>
      <x:c r="F23" s="14" t="n">
        <x:f>SUM(F20:F22)</x:f>
        <x:v>0</x:v>
      </x:c>
      <x:c r="G23" s="14" t="n">
        <x:f>SUM(G20:G22)</x:f>
        <x:v>0</x:v>
      </x:c>
      <x:c r="H23" s="14" t="n">
        <x:f>SUM(H20:H22)</x:f>
        <x:v>0</x:v>
      </x:c>
      <x:c r="I23" s="14" t="n">
        <x:f>SUM(I20:I22)</x:f>
        <x:v>0</x:v>
      </x:c>
      <x:c r="J23" s="14" t="n">
        <x:f>SUM(J20:J22)</x:f>
        <x:v>0</x:v>
      </x:c>
      <x:c r="K23" s="14" t="n">
        <x:f>SUM(K20:K22)</x:f>
        <x:v>0</x:v>
      </x:c>
      <x:c r="L23" s="14" t="n">
        <x:f>SUM(L20:L22)</x:f>
        <x:v>0</x:v>
      </x:c>
      <x:c r="M23" s="14" t="n">
        <x:f>SUM(M20:M22)</x:f>
        <x:v>0</x:v>
      </x:c>
      <x:c r="N23" s="14" t="n">
        <x:f>SUM(N20:N22)</x:f>
        <x:v>0</x:v>
      </x:c>
      <x:c r="O23" s="14" t="n">
        <x:f>SUM(O20:O22)</x:f>
        <x:v>0</x:v>
      </x:c>
      <x:c r="P23" s="14" t="n">
        <x:f>SUM(P20:P22)</x:f>
        <x:v>0</x:v>
      </x:c>
      <x:c r="Q23" s="14" t="n">
        <x:f>SUM(Q20:Q22)</x:f>
        <x:v>0</x:v>
      </x:c>
      <x:c r="R23" s="14" t="n">
        <x:f>SUM(F23:Q23)</x:f>
        <x:v>0</x:v>
      </x:c>
      <x:c r="S23" s="15" t="str">
        <x:v>formula only</x:v>
      </x:c>
    </x:row>
    <x:row r="24">
      <x:c r="A24" s="9" t="str"/>
      <x:c r="B24" s="9" t="str"/>
      <x:c r="C24" s="9" t="str"/>
      <x:c r="D24" s="9" t="str"/>
      <x:c r="E24" s="9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  <x:c r="N24" s="8" t="str"/>
      <x:c r="O24" s="8" t="str"/>
      <x:c r="P24" s="8" t="str"/>
      <x:c r="Q24" s="8" t="str"/>
      <x:c r="R24" s="8" t="str"/>
      <x:c r="S24" s="7" t="str"/>
    </x:row>
    <x:row r="25">
      <x:c r="A25" s="9" t="str">
        <x:v>Capital oxygen</x:v>
      </x:c>
      <x:c r="B25" s="9" t="str">
        <x:v>borrow</x:v>
      </x:c>
      <x:c r="C25" s="9" t="str">
        <x:v>financing</x:v>
      </x:c>
      <x:c r="D25" s="9" t="str">
        <x:v>Line-of-credit oxygen</x:v>
      </x:c>
      <x:c r="E25" s="9" t="str">
        <x:v>system</x:v>
      </x:c>
      <x:c r="F25" s="8" t="n">
        <x:v>0</x:v>
      </x:c>
      <x:c r="G25" s="8" t="n">
        <x:v>0</x:v>
      </x:c>
      <x:c r="H25" s="8" t="n">
        <x:v>0</x:v>
      </x:c>
      <x:c r="I25" s="8" t="n">
        <x:v>0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8" t="n">
        <x:v>0</x:v>
      </x:c>
      <x:c r="Q25" s="8" t="n">
        <x:v>0</x:v>
      </x:c>
      <x:c r="R25" s="8" t="n">
        <x:f>SUM(F25:Q25)</x:f>
        <x:v>0</x:v>
      </x:c>
      <x:c r="S25" s="7" t="str">
        <x:v>debt draw</x:v>
      </x:c>
    </x:row>
    <x:row r="26">
      <x:c r="A26" s="9" t="str">
        <x:v>Capital oxygen</x:v>
      </x:c>
      <x:c r="B26" s="9" t="str">
        <x:v>repay</x:v>
      </x:c>
      <x:c r="C26" s="9" t="str">
        <x:v>financing</x:v>
      </x:c>
      <x:c r="D26" s="9" t="str">
        <x:v>Lender principal sendback</x:v>
      </x:c>
      <x:c r="E26" s="9" t="str">
        <x:v>system</x:v>
      </x:c>
      <x:c r="F26" s="8" t="n">
        <x:v>0</x:v>
      </x:c>
      <x:c r="G26" s="8" t="n">
        <x:v>0</x:v>
      </x:c>
      <x:c r="H26" s="8" t="n">
        <x:v>0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8" t="n">
        <x:v>0</x:v>
      </x:c>
      <x:c r="Q26" s="8" t="n">
        <x:v>0</x:v>
      </x:c>
      <x:c r="R26" s="8" t="n">
        <x:f>SUM(F26:Q26)</x:f>
        <x:v>0</x:v>
      </x:c>
      <x:c r="S26" s="7" t="str">
        <x:v>debt repay</x:v>
      </x:c>
    </x:row>
    <x:row r="27">
      <x:c r="A27" s="9" t="str">
        <x:v>Capital oxygen</x:v>
      </x:c>
      <x:c r="B27" s="9" t="str">
        <x:v>cost</x:v>
      </x:c>
      <x:c r="C27" s="9" t="str">
        <x:v>financing</x:v>
      </x:c>
      <x:c r="D27" s="9" t="str">
        <x:v>Borrowing cost cash</x:v>
      </x:c>
      <x:c r="E27" s="9" t="str">
        <x:v>system</x:v>
      </x:c>
      <x:c r="F27" s="8" t="n">
        <x:v>0</x:v>
      </x:c>
      <x:c r="G27" s="8" t="n">
        <x:v>0</x:v>
      </x:c>
      <x:c r="H27" s="8" t="n">
        <x:v>0</x:v>
      </x:c>
      <x:c r="I27" s="8" t="n">
        <x:v>0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f>SUM(F27:Q27)</x:f>
        <x:v>0</x:v>
      </x:c>
      <x:c r="S27" s="7" t="str">
        <x:v>interest paid</x:v>
      </x:c>
    </x:row>
    <x:row r="28">
      <x:c r="A28" s="9" t="str">
        <x:v>Capital oxygen</x:v>
      </x:c>
      <x:c r="B28" s="9" t="str">
        <x:v>sponsors</x:v>
      </x:c>
      <x:c r="C28" s="9" t="str">
        <x:v>financing</x:v>
      </x:c>
      <x:c r="D28" s="9" t="str">
        <x:v>Sponsor oxygen</x:v>
      </x:c>
      <x:c r="E28" s="9" t="str">
        <x:v>system</x:v>
      </x:c>
      <x:c r="F28" s="8" t="n">
        <x:v>0</x:v>
      </x:c>
      <x:c r="G28" s="8" t="n">
        <x:v>0</x:v>
      </x:c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8" t="n">
        <x:v>0</x:v>
      </x:c>
      <x:c r="R28" s="8" t="n">
        <x:f>SUM(F28:Q28)</x:f>
        <x:v>0</x:v>
      </x:c>
      <x:c r="S28" s="7" t="str">
        <x:v>equity in</x:v>
      </x:c>
    </x:row>
    <x:row r="29">
      <x:c r="A29" s="9" t="str">
        <x:v>Capital oxygen</x:v>
      </x:c>
      <x:c r="B29" s="9" t="str">
        <x:v>owners</x:v>
      </x:c>
      <x:c r="C29" s="9" t="str">
        <x:v>financing</x:v>
      </x:c>
      <x:c r="D29" s="9" t="str">
        <x:v>Owner cash sweeps</x:v>
      </x:c>
      <x:c r="E29" s="9" t="str">
        <x:v>system</x:v>
      </x:c>
      <x:c r="F29" s="8" t="n">
        <x:v>0</x:v>
      </x:c>
      <x:c r="G29" s="8" t="n">
        <x:v>0</x:v>
      </x:c>
      <x:c r="H29" s="8" t="n">
        <x:v>0</x:v>
      </x:c>
      <x:c r="I29" s="8" t="n">
        <x:v>0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f>SUM(F29:Q29)</x:f>
        <x:v>0</x:v>
      </x:c>
      <x:c r="S29" s="7" t="str">
        <x:v>distributions</x:v>
      </x:c>
    </x:row>
    <x:row r="30">
      <x:c r="A30" s="13" t="str">
        <x:v>Capital oxygen</x:v>
      </x:c>
      <x:c r="B30" s="13" t="str">
        <x:v>subtotal</x:v>
      </x:c>
      <x:c r="C30" s="13" t="str">
        <x:v>calc</x:v>
      </x:c>
      <x:c r="D30" s="13" t="str">
        <x:v>Capital stack cash swing</x:v>
      </x:c>
      <x:c r="E30" s="13" t="str">
        <x:v>formula</x:v>
      </x:c>
      <x:c r="F30" s="14" t="n">
        <x:f>SUM(F25:F29)</x:f>
        <x:v>0</x:v>
      </x:c>
      <x:c r="G30" s="14" t="n">
        <x:f>SUM(G25:G29)</x:f>
        <x:v>0</x:v>
      </x:c>
      <x:c r="H30" s="14" t="n">
        <x:f>SUM(H25:H29)</x:f>
        <x:v>0</x:v>
      </x:c>
      <x:c r="I30" s="14" t="n">
        <x:f>SUM(I25:I29)</x:f>
        <x:v>0</x:v>
      </x:c>
      <x:c r="J30" s="14" t="n">
        <x:f>SUM(J25:J29)</x:f>
        <x:v>0</x:v>
      </x:c>
      <x:c r="K30" s="14" t="n">
        <x:f>SUM(K25:K29)</x:f>
        <x:v>0</x:v>
      </x:c>
      <x:c r="L30" s="14" t="n">
        <x:f>SUM(L25:L29)</x:f>
        <x:v>0</x:v>
      </x:c>
      <x:c r="M30" s="14" t="n">
        <x:f>SUM(M25:M29)</x:f>
        <x:v>0</x:v>
      </x:c>
      <x:c r="N30" s="14" t="n">
        <x:f>SUM(N25:N29)</x:f>
        <x:v>0</x:v>
      </x:c>
      <x:c r="O30" s="14" t="n">
        <x:f>SUM(O25:O29)</x:f>
        <x:v>0</x:v>
      </x:c>
      <x:c r="P30" s="14" t="n">
        <x:f>SUM(P25:P29)</x:f>
        <x:v>0</x:v>
      </x:c>
      <x:c r="Q30" s="14" t="n">
        <x:f>SUM(Q25:Q29)</x:f>
        <x:v>0</x:v>
      </x:c>
      <x:c r="R30" s="14" t="n">
        <x:f>SUM(F30:Q30)</x:f>
        <x:v>0</x:v>
      </x:c>
      <x:c r="S30" s="15" t="str">
        <x:v>formula only</x:v>
      </x:c>
    </x:row>
    <x:row r="31">
      <x:c r="A31" s="9" t="str"/>
      <x:c r="B31" s="9" t="str"/>
      <x:c r="C31" s="9" t="str"/>
      <x:c r="D31" s="9" t="str"/>
      <x:c r="E31" s="9" t="str"/>
      <x:c r="F31" s="8" t="str"/>
      <x:c r="G31" s="8" t="str"/>
      <x:c r="H31" s="8" t="str"/>
      <x:c r="I31" s="8" t="str"/>
      <x:c r="J31" s="8" t="str"/>
      <x:c r="K31" s="8" t="str"/>
      <x:c r="L31" s="8" t="str"/>
      <x:c r="M31" s="8" t="str"/>
      <x:c r="N31" s="8" t="str"/>
      <x:c r="O31" s="8" t="str"/>
      <x:c r="P31" s="8" t="str"/>
      <x:c r="Q31" s="8" t="str"/>
      <x:c r="R31" s="8" t="str"/>
      <x:c r="S31" s="7" t="str"/>
    </x:row>
    <x:row r="32">
      <x:c r="A32" s="13" t="str">
        <x:v>Runway</x:v>
      </x:c>
      <x:c r="B32" s="13" t="str">
        <x:v>net</x:v>
      </x:c>
      <x:c r="C32" s="13" t="str">
        <x:v>calc</x:v>
      </x:c>
      <x:c r="D32" s="13" t="str">
        <x:v>Net runway change</x:v>
      </x:c>
      <x:c r="E32" s="13" t="str">
        <x:v>formula</x:v>
      </x:c>
      <x:c r="F32" s="14" t="n">
        <x:f>SUM(F8:F9)-SUM(F12:F17)-SUM(F20:F21)+SUM(F22)+SUM(F25:F28)-SUM(F26:F27)-SUM(F29)</x:f>
        <x:v>0</x:v>
      </x:c>
      <x:c r="G32" s="14" t="n">
        <x:f>SUM(G8:G9)-SUM(G12:G17)-SUM(G20:G21)+SUM(G22)+SUM(G25:G28)-SUM(G26:G27)-SUM(G29)</x:f>
        <x:v>0</x:v>
      </x:c>
      <x:c r="H32" s="14" t="n">
        <x:f>SUM(H8:H9)-SUM(H12:H17)-SUM(H20:H21)+SUM(H22)+SUM(H25:H28)-SUM(H26:H27)-SUM(H29)</x:f>
        <x:v>0</x:v>
      </x:c>
      <x:c r="I32" s="14" t="n">
        <x:f>SUM(I8:I9)-SUM(I12:I17)-SUM(I20:I21)+SUM(I22)+SUM(I25:I28)-SUM(I26:I27)-SUM(I29)</x:f>
        <x:v>0</x:v>
      </x:c>
      <x:c r="J32" s="14" t="n">
        <x:f>SUM(J8:J9)-SUM(J12:J17)-SUM(J20:J21)+SUM(J22)+SUM(J25:J28)-SUM(J26:J27)-SUM(J29)</x:f>
        <x:v>0</x:v>
      </x:c>
      <x:c r="K32" s="14" t="n">
        <x:f>SUM(K8:K9)-SUM(K12:K17)-SUM(K20:K21)+SUM(K22)+SUM(K25:K28)-SUM(K26:K27)-SUM(K29)</x:f>
        <x:v>0</x:v>
      </x:c>
      <x:c r="L32" s="14" t="n">
        <x:f>SUM(L8:L9)-SUM(L12:L17)-SUM(L20:L21)+SUM(L22)+SUM(L25:L28)-SUM(L26:L27)-SUM(L29)</x:f>
        <x:v>0</x:v>
      </x:c>
      <x:c r="M32" s="14" t="n">
        <x:f>SUM(M8:M9)-SUM(M12:M17)-SUM(M20:M21)+SUM(M22)+SUM(M25:M28)-SUM(M26:M27)-SUM(M29)</x:f>
        <x:v>0</x:v>
      </x:c>
      <x:c r="N32" s="14" t="n">
        <x:f>SUM(N8:N9)-SUM(N12:N17)-SUM(N20:N21)+SUM(N22)+SUM(N25:N28)-SUM(N26:N27)-SUM(N29)</x:f>
        <x:v>0</x:v>
      </x:c>
      <x:c r="O32" s="14" t="n">
        <x:f>SUM(O8:O9)-SUM(O12:O17)-SUM(O20:O21)+SUM(O22)+SUM(O25:O28)-SUM(O26:O27)-SUM(O29)</x:f>
        <x:v>0</x:v>
      </x:c>
      <x:c r="P32" s="14" t="n">
        <x:f>SUM(P8:P9)-SUM(P12:P17)-SUM(P20:P21)+SUM(P22)+SUM(P25:P28)-SUM(P26:P27)-SUM(P29)</x:f>
        <x:v>0</x:v>
      </x:c>
      <x:c r="Q32" s="14" t="n">
        <x:f>SUM(Q8:Q9)-SUM(Q12:Q17)-SUM(Q20:Q21)+SUM(Q22)+SUM(Q25:Q28)-SUM(Q26:Q27)-SUM(Q29)</x:f>
        <x:v>0</x:v>
      </x:c>
      <x:c r="R32" s="14" t="n">
        <x:f>SUM(F32:Q32)</x:f>
        <x:v>0</x:v>
      </x:c>
      <x:c r="S32" s="15" t="str">
        <x:v>formula only</x:v>
      </x:c>
    </x:row>
    <x:row r="33">
      <x:c r="A33" s="19" t="str">
        <x:v>Runway</x:v>
      </x:c>
      <x:c r="B33" s="19" t="str">
        <x:v>anchor</x:v>
      </x:c>
      <x:c r="C33" s="19" t="str">
        <x:v>closing</x:v>
      </x:c>
      <x:c r="D33" s="19" t="str">
        <x:v>Cash at end of runway</x:v>
      </x:c>
      <x:c r="E33" s="19" t="str">
        <x:v>system</x:v>
      </x:c>
      <x:c r="F33" s="20" t="n">
        <x:v>0</x:v>
      </x:c>
      <x:c r="G33" s="20" t="n">
        <x:v>0</x:v>
      </x:c>
      <x:c r="H33" s="20" t="n">
        <x:v>0</x:v>
      </x:c>
      <x:c r="I33" s="20" t="n">
        <x:v>0</x:v>
      </x:c>
      <x:c r="J33" s="20" t="n">
        <x:v>0</x:v>
      </x:c>
      <x:c r="K33" s="20" t="n">
        <x:v>0</x:v>
      </x:c>
      <x:c r="L33" s="20" t="n">
        <x:v>0</x:v>
      </x:c>
      <x:c r="M33" s="20" t="n">
        <x:v>0</x:v>
      </x:c>
      <x:c r="N33" s="20" t="n">
        <x:v>0</x:v>
      </x:c>
      <x:c r="O33" s="20" t="n">
        <x:v>0</x:v>
      </x:c>
      <x:c r="P33" s="20" t="n">
        <x:v>0</x:v>
      </x:c>
      <x:c r="Q33" s="20" t="n">
        <x:v>0</x:v>
      </x:c>
      <x:c r="R33" s="20" t="n">
        <x:f>SUM(F33:Q33)</x:f>
        <x:v>0</x:v>
      </x:c>
      <x:c r="S33" s="21" t="str">
        <x:v>closing target</x:v>
      </x:c>
    </x:row>
  </x:sheetData>
  <x:mergeCells>
    <x:mergeCell ref="A2:S2"/>
  </x:mergeCells>
  <x:pageMargins left="0.7" right="0.7" top="0.75" bottom="0.75" header="0.3" footer="0.3"/>
</x:worksheet>
</file>