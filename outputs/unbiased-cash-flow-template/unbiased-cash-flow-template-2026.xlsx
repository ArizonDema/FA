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Cash Motion" state="visible" r:id="rId4"/>
    <sheet sheetId="2" name="Read Me" state="visible" r:id="rId5"/>
  </sheets>
  <calcPr calcId="171027" fullCalcOnLoad="1"/>
</workbook>
</file>

<file path=xl/sharedStrings.xml><?xml version="1.0" encoding="utf-8"?>
<sst xmlns="http://schemas.openxmlformats.org/spreadsheetml/2006/main" count="66" uniqueCount="66">
  <si>
    <t>Cash Motion Template - 2026 Monthly Direct Method</t>
  </si>
  <si>
    <t>Yellow cells are writable. Blue and green cells are formulas. Labels are intentionally accountant-readable but non-standard.</t>
  </si>
  <si>
    <t>Cash motion line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</si>
  <si>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</si>
  <si>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</si>
  <si>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</si>
  <si>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</si>
  <si>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</si>
  <si>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</si>
  <si>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</si>
  <si>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</si>
  <si>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</si>
  <si>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</si>
  <si>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</si>
  <si>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</si>
  <si>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Opening bank position</t>
  </si>
  <si>
    <t>Counterparty value gathered</t>
  </si>
  <si>
    <t>Channel sweep deposits</t>
  </si>
  <si>
    <t>Marketplace settlement drops</t>
  </si>
  <si>
    <t>Maintenance retainers banked</t>
  </si>
  <si>
    <t>Recovered chargeback reserve</t>
  </si>
  <si>
    <t>Public incentive remittances</t>
  </si>
  <si>
    <t>Warranty pool releases</t>
  </si>
  <si>
    <t>Other bank-side value captured</t>
  </si>
  <si>
    <t>Unassigned intake line A</t>
  </si>
  <si>
    <t>Unassigned intake line B</t>
  </si>
  <si>
    <t>Cash supplied by counterparty value gathered</t>
  </si>
  <si>
    <t>Run-the-place cash calls</t>
  </si>
  <si>
    <t>Vendor passage payments</t>
  </si>
  <si>
    <t>Fulfillment lane charges</t>
  </si>
  <si>
    <t>Team stipend clearings</t>
  </si>
  <si>
    <t>Workspace occupancy uses</t>
  </si>
  <si>
    <t>Cloud and toolchain withdrawals</t>
  </si>
  <si>
    <t>Client goodwill credits paid</t>
  </si>
  <si>
    <t>Statutory desk remittances</t>
  </si>
  <si>
    <t>Professional review disbursements</t>
  </si>
  <si>
    <t>Insurance and surety draws</t>
  </si>
  <si>
    <t>Unassigned operating use A</t>
  </si>
  <si>
    <t>Unassigned operating use B</t>
  </si>
  <si>
    <t>Cash used by run-the-place cash calls</t>
  </si>
  <si>
    <t>Capacity reshaping movements</t>
  </si>
  <si>
    <t>Build-out escrow returned</t>
  </si>
  <si>
    <t>Workshop readiness transfers</t>
  </si>
  <si>
    <t>Equipment renewal wires</t>
  </si>
  <si>
    <t>Durable software license buys</t>
  </si>
  <si>
    <t>Retired asset clearing receipts</t>
  </si>
  <si>
    <t>Unassigned capacity movement</t>
  </si>
  <si>
    <t>Cash supplied by capacity reshaping movements</t>
  </si>
  <si>
    <t>Funding architecture movements</t>
  </si>
  <si>
    <t>Partner funding calls received</t>
  </si>
  <si>
    <t>Facility draw notices funded</t>
  </si>
  <si>
    <t>Facility amortization wires</t>
  </si>
  <si>
    <t>Preference yield settlements</t>
  </si>
  <si>
    <t>Reserve account top-ups</t>
  </si>
  <si>
    <t>Unassigned funding movement</t>
  </si>
  <si>
    <t>Cash supplied by funding architecture movements</t>
  </si>
  <si>
    <t>Monthly change in bank position</t>
  </si>
  <si>
    <t>Closing bank position</t>
  </si>
  <si>
    <t>Purpose</t>
  </si>
  <si>
    <t>A deliberately non-easy, direct-method monthly cash-flow template for analyzer testing.</t>
  </si>
  <si>
    <t>Writable cells</t>
  </si>
  <si>
    <t>Yellow monthly amount cells are intentionally blank/zero and may be overwritten by a tester.</t>
  </si>
  <si>
    <t>Formula cells</t>
  </si>
  <si>
    <t>Subtotal, monthly change, and closing bank position rows use formulas.</t>
  </si>
  <si>
    <t>Design constraint</t>
  </si>
  <si>
    <t>Line names avoid common cash-flow labels while remaining understandable to accounting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</si>
</sst>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;-"/>
  </numFmts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ptos Display"/>
    </font>
    <font>
      <i/>
      <color rgb="20323A"/>
      <sz val="10"/>
      <name val="Aptos"/>
    </font>
    <font>
      <b/>
      <color rgb="FFFFFF"/>
      <name val="Aptos"/>
    </font>
    <font>
      <b/>
      <color rgb="20323A"/>
      <sz val="10"/>
      <name val="Aptos"/>
    </font>
    <font>
      <color rgb="20323A"/>
      <sz val="10"/>
      <name val="Aptos"/>
    </font>
  </fonts>
  <fills count="9">
    <fill>
      <patternFill patternType="none"/>
    </fill>
    <fill>
      <patternFill patternType="gray125"/>
    </fill>
    <fill>
      <patternFill patternType="solid">
        <fgColor rgb="2F4858"/>
      </patternFill>
    </fill>
    <fill>
      <patternFill patternType="solid">
        <fgColor rgb="F4F1EA"/>
      </patternFill>
    </fill>
    <fill>
      <patternFill patternType="solid">
        <fgColor rgb="EAF2F8"/>
      </patternFill>
    </fill>
    <fill>
      <patternFill patternType="solid">
        <fgColor rgb="FFF6D8"/>
      </patternFill>
    </fill>
    <fill>
      <patternFill patternType="solid">
        <fgColor rgb="D7E7DF"/>
      </patternFill>
    </fill>
    <fill>
      <patternFill patternType="solid">
        <fgColor rgb="C9DBF2"/>
      </patternFill>
    </fill>
    <fill>
      <patternFill patternType="solid">
        <fgColor rgb="B9D8C2"/>
      </patternFill>
    </fill>
  </fills>
  <borders count="2">
    <border>
      <left/>
      <right/>
      <top/>
      <bottom/>
      <diagonal/>
    </border>
    <border>
      <left style="thin">
        <color rgb="8EA3AD"/>
      </left>
      <right style="thin">
        <color rgb="8EA3AD"/>
      </right>
      <top style="thin">
        <color rgb="8EA3AD"/>
      </top>
      <bottom style="thin">
        <color rgb="8EA3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vertical="center" wrapText="1"/>
    </xf>
    <xf numFmtId="164" fontId="4" fillId="8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13" width="13" customWidth="1"/>
  </cols>
  <sheetData>
    <row r="1" ht="2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6" spans="1:13" x14ac:dyDescent="0.25">
      <c r="A6" s="4" t="s">
        <v>15</v>
      </c>
      <c r="B6" s="5">
        <v>85000</v>
      </c>
      <c r="C6" s="6">
        <f>B53</f>
      </c>
      <c r="D6" s="6">
        <f>C53</f>
      </c>
      <c r="E6" s="6">
        <f>D53</f>
      </c>
      <c r="F6" s="6">
        <f>E53</f>
      </c>
      <c r="G6" s="6">
        <f>F53</f>
      </c>
      <c r="H6" s="6">
        <f>G53</f>
      </c>
      <c r="I6" s="6">
        <f>H53</f>
      </c>
      <c r="J6" s="6">
        <f>I53</f>
      </c>
      <c r="K6" s="6">
        <f>J53</f>
      </c>
      <c r="L6" s="6">
        <f>K53</f>
      </c>
      <c r="M6" s="6">
        <f>L53</f>
      </c>
    </row>
    <row r="8" spans="1:13" x14ac:dyDescent="0.25">
      <c r="A8" s="7" t="s">
        <v>16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25">
      <c r="A9" s="8" t="s">
        <v>17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x14ac:dyDescent="0.25">
      <c r="A10" s="8" t="s">
        <v>18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x14ac:dyDescent="0.25">
      <c r="A11" s="8" t="s">
        <v>19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25">
      <c r="A12" s="8" t="s">
        <v>20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25">
      <c r="A13" s="8" t="s">
        <v>21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25">
      <c r="A14" s="8" t="s">
        <v>22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x14ac:dyDescent="0.25">
      <c r="A15" s="8" t="s">
        <v>23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x14ac:dyDescent="0.25">
      <c r="A16" s="8" t="s">
        <v>24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x14ac:dyDescent="0.25">
      <c r="A17" s="8" t="s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x14ac:dyDescent="0.25">
      <c r="A18" s="9" t="s">
        <v>26</v>
      </c>
      <c r="B18" s="10">
        <f>SUM(B9:B17)</f>
      </c>
      <c r="C18" s="10">
        <f>SUM(C9:C17)</f>
      </c>
      <c r="D18" s="10">
        <f>SUM(D9:D17)</f>
      </c>
      <c r="E18" s="10">
        <f>SUM(E9:E17)</f>
      </c>
      <c r="F18" s="10">
        <f>SUM(F9:F17)</f>
      </c>
      <c r="G18" s="10">
        <f>SUM(G9:G17)</f>
      </c>
      <c r="H18" s="10">
        <f>SUM(H9:H17)</f>
      </c>
      <c r="I18" s="10">
        <f>SUM(I9:I17)</f>
      </c>
      <c r="J18" s="10">
        <f>SUM(J9:J17)</f>
      </c>
      <c r="K18" s="10">
        <f>SUM(K9:K17)</f>
      </c>
      <c r="L18" s="10">
        <f>SUM(L9:L17)</f>
      </c>
      <c r="M18" s="10">
        <f>SUM(M9:M17)</f>
      </c>
    </row>
    <row r="20" spans="1:13" x14ac:dyDescent="0.25">
      <c r="A20" s="7" t="s">
        <v>27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8" t="s">
        <v>28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x14ac:dyDescent="0.25">
      <c r="A22" s="8" t="s">
        <v>29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25">
      <c r="A23" s="8" t="s">
        <v>30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25">
      <c r="A24" s="8" t="s">
        <v>31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x14ac:dyDescent="0.25">
      <c r="A25" s="8" t="s">
        <v>32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x14ac:dyDescent="0.25">
      <c r="A26" s="8" t="s">
        <v>33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x14ac:dyDescent="0.25">
      <c r="A27" s="8" t="s">
        <v>34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x14ac:dyDescent="0.25">
      <c r="A28" s="8" t="s">
        <v>35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x14ac:dyDescent="0.25">
      <c r="A29" s="8" t="s">
        <v>36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x14ac:dyDescent="0.25">
      <c r="A30" s="8" t="s">
        <v>37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x14ac:dyDescent="0.25">
      <c r="A31" s="8" t="s">
        <v>38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x14ac:dyDescent="0.25">
      <c r="A32" s="9" t="s">
        <v>39</v>
      </c>
      <c r="B32" s="10">
        <f>SUM(B21:B31)</f>
      </c>
      <c r="C32" s="10">
        <f>SUM(C21:C31)</f>
      </c>
      <c r="D32" s="10">
        <f>SUM(D21:D31)</f>
      </c>
      <c r="E32" s="10">
        <f>SUM(E21:E31)</f>
      </c>
      <c r="F32" s="10">
        <f>SUM(F21:F31)</f>
      </c>
      <c r="G32" s="10">
        <f>SUM(G21:G31)</f>
      </c>
      <c r="H32" s="10">
        <f>SUM(H21:H31)</f>
      </c>
      <c r="I32" s="10">
        <f>SUM(I21:I31)</f>
      </c>
      <c r="J32" s="10">
        <f>SUM(J21:J31)</f>
      </c>
      <c r="K32" s="10">
        <f>SUM(K21:K31)</f>
      </c>
      <c r="L32" s="10">
        <f>SUM(L21:L31)</f>
      </c>
      <c r="M32" s="10">
        <f>SUM(M21:M31)</f>
      </c>
    </row>
    <row r="34" spans="1:13" x14ac:dyDescent="0.25">
      <c r="A34" s="7" t="s">
        <v>40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8" t="s">
        <v>41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x14ac:dyDescent="0.25">
      <c r="A36" s="8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 x14ac:dyDescent="0.25">
      <c r="A37" s="8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x14ac:dyDescent="0.25">
      <c r="A38" s="8" t="s">
        <v>44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 x14ac:dyDescent="0.25">
      <c r="A39" s="8" t="s">
        <v>45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x14ac:dyDescent="0.25">
      <c r="A40" s="8" t="s">
        <v>46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 x14ac:dyDescent="0.25">
      <c r="A41" s="9" t="s">
        <v>47</v>
      </c>
      <c r="B41" s="10">
        <f>B35-B36-B37-B38+B39-B40</f>
      </c>
      <c r="C41" s="10">
        <f>C35-C36-C37-C38+C39-C40</f>
      </c>
      <c r="D41" s="10">
        <f>D35-D36-D37-D38+D39-D40</f>
      </c>
      <c r="E41" s="10">
        <f>E35-E36-E37-E38+E39-E40</f>
      </c>
      <c r="F41" s="10">
        <f>F35-F36-F37-F38+F39-F40</f>
      </c>
      <c r="G41" s="10">
        <f>G35-G36-G37-G38+G39-G40</f>
      </c>
      <c r="H41" s="10">
        <f>H35-H36-H37-H38+H39-H40</f>
      </c>
      <c r="I41" s="10">
        <f>I35-I36-I37-I38+I39-I40</f>
      </c>
      <c r="J41" s="10">
        <f>J35-J36-J37-J38+J39-J40</f>
      </c>
      <c r="K41" s="10">
        <f>K35-K36-K37-K38+K39-K40</f>
      </c>
      <c r="L41" s="10">
        <f>L35-L36-L37-L38+L39-L40</f>
      </c>
      <c r="M41" s="10">
        <f>M35-M36-M37-M38+M39-M40</f>
      </c>
    </row>
    <row r="43" spans="1:13" x14ac:dyDescent="0.25">
      <c r="A43" s="7" t="s">
        <v>48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8" t="s">
        <v>49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x14ac:dyDescent="0.25">
      <c r="A45" s="8" t="s">
        <v>50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x14ac:dyDescent="0.25">
      <c r="A46" s="8" t="s">
        <v>51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</row>
    <row r="47" spans="1:13" x14ac:dyDescent="0.25">
      <c r="A47" s="8" t="s">
        <v>52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x14ac:dyDescent="0.25">
      <c r="A48" s="8" t="s">
        <v>53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</row>
    <row r="49" spans="1:13" x14ac:dyDescent="0.25">
      <c r="A49" s="8" t="s">
        <v>54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x14ac:dyDescent="0.25">
      <c r="A50" s="9" t="s">
        <v>55</v>
      </c>
      <c r="B50" s="10">
        <f>B44+B45-B46-B47-B48+B49</f>
      </c>
      <c r="C50" s="10">
        <f>C44+C45-C46-C47-C48+C49</f>
      </c>
      <c r="D50" s="10">
        <f>D44+D45-D46-D47-D48+D49</f>
      </c>
      <c r="E50" s="10">
        <f>E44+E45-E46-E47-E48+E49</f>
      </c>
      <c r="F50" s="10">
        <f>F44+F45-F46-F47-F48+F49</f>
      </c>
      <c r="G50" s="10">
        <f>G44+G45-G46-G47-G48+G49</f>
      </c>
      <c r="H50" s="10">
        <f>H44+H45-H46-H47-H48+H49</f>
      </c>
      <c r="I50" s="10">
        <f>I44+I45-I46-I47-I48+I49</f>
      </c>
      <c r="J50" s="10">
        <f>J44+J45-J46-J47-J48+J49</f>
      </c>
      <c r="K50" s="10">
        <f>K44+K45-K46-K47-K48+K49</f>
      </c>
      <c r="L50" s="10">
        <f>L44+L45-L46-L47-L48+L49</f>
      </c>
      <c r="M50" s="10">
        <f>M44+M45-M46-M47-M48+M49</f>
      </c>
    </row>
    <row r="52" spans="1:13" x14ac:dyDescent="0.25">
      <c r="A52" s="9" t="s">
        <v>56</v>
      </c>
      <c r="B52" s="10">
        <f>B18-B32+B41+B50</f>
      </c>
      <c r="C52" s="10">
        <f>C18-C32+C41+C50</f>
      </c>
      <c r="D52" s="10">
        <f>D18-D32+D41+D50</f>
      </c>
      <c r="E52" s="10">
        <f>E18-E32+E41+E50</f>
      </c>
      <c r="F52" s="10">
        <f>F18-F32+F41+F50</f>
      </c>
      <c r="G52" s="10">
        <f>G18-G32+G41+G50</f>
      </c>
      <c r="H52" s="10">
        <f>H18-H32+H41+H50</f>
      </c>
      <c r="I52" s="10">
        <f>I18-I32+I41+I50</f>
      </c>
      <c r="J52" s="10">
        <f>J18-J32+J41+J50</f>
      </c>
      <c r="K52" s="10">
        <f>K18-K32+K41+K50</f>
      </c>
      <c r="L52" s="10">
        <f>L18-L32+L41+L50</f>
      </c>
      <c r="M52" s="10">
        <f>M18-M32+M41+M50</f>
      </c>
    </row>
    <row r="53" spans="1:13" x14ac:dyDescent="0.25">
      <c r="A53" s="11" t="s">
        <v>57</v>
      </c>
      <c r="B53" s="12">
        <f>B6+B52</f>
      </c>
      <c r="C53" s="12">
        <f>C6+C52</f>
      </c>
      <c r="D53" s="12">
        <f>D6+D52</f>
      </c>
      <c r="E53" s="12">
        <f>E6+E52</f>
      </c>
      <c r="F53" s="12">
        <f>F6+F52</f>
      </c>
      <c r="G53" s="12">
        <f>G6+G52</f>
      </c>
      <c r="H53" s="12">
        <f>H6+H52</f>
      </c>
      <c r="I53" s="12">
        <f>I6+I52</f>
      </c>
      <c r="J53" s="12">
        <f>J6+J52</f>
      </c>
      <c r="K53" s="12">
        <f>K6+K52</f>
      </c>
      <c r="L53" s="12">
        <f>L6+L52</f>
      </c>
      <c r="M53" s="12">
        <f>M6+M52</f>
      </c>
    </row>
  </sheetData>
  <autoFilter ref="A4:M4"/>
  <mergeCells count="6">
    <mergeCell ref="A1:M1"/>
    <mergeCell ref="A2:M2"/>
    <mergeCell ref="A8:M8"/>
    <mergeCell ref="A20:M20"/>
    <mergeCell ref="A34:M34"/>
    <mergeCell ref="A43:M4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90" customWidth="1"/>
  </cols>
  <sheetData>
    <row r="1" spans="1:2" x14ac:dyDescent="0.25">
      <c r="A1" s="13" t="s">
        <v>58</v>
      </c>
      <c r="B1" s="13" t="s">
        <v>59</v>
      </c>
    </row>
    <row r="2" spans="1:2" x14ac:dyDescent="0.25">
      <c r="A2" s="13" t="s">
        <v>60</v>
      </c>
      <c r="B2" s="13" t="s">
        <v>61</v>
      </c>
    </row>
    <row r="3" spans="1:2" x14ac:dyDescent="0.25">
      <c r="A3" s="13" t="s">
        <v>62</v>
      </c>
      <c r="B3" s="13" t="s">
        <v>63</v>
      </c>
    </row>
    <row r="4" spans="1:2" x14ac:dyDescent="0.25">
      <c r="A4" s="13" t="s">
        <v>64</v>
      </c>
      <c r="B4" s="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Cash Motion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2025-12-31T22:00:00Z</dcterms:created>
  <dcterms:modified xsi:type="dcterms:W3CDTF">2025-12-31T22:00:00Z</dcterms:modified>
</cp:coreProperties>
</file>